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Rencana\"/>
    </mc:Choice>
  </mc:AlternateContent>
  <xr:revisionPtr revIDLastSave="0" documentId="13_ncr:1_{185EC6BB-7071-4386-A0B2-919E2EBB9AE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Sheet1!$A$1:$U$400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5" i="1" l="1"/>
  <c r="V4" i="1"/>
  <c r="V3" i="1"/>
</calcChain>
</file>

<file path=xl/sharedStrings.xml><?xml version="1.0" encoding="utf-8"?>
<sst xmlns="http://schemas.openxmlformats.org/spreadsheetml/2006/main" count="4723" uniqueCount="331">
  <si>
    <t>Docket</t>
  </si>
  <si>
    <t>Nomor Kontrak</t>
  </si>
  <si>
    <t>Proyek</t>
  </si>
  <si>
    <t>Kontraktor</t>
  </si>
  <si>
    <t>Mutu</t>
  </si>
  <si>
    <t>No. Urut</t>
  </si>
  <si>
    <t>Tanggal Rencana</t>
  </si>
  <si>
    <t>Rencana Umur Test</t>
  </si>
  <si>
    <t>Bentuk Benda Uji</t>
  </si>
  <si>
    <t>Target (%)</t>
  </si>
  <si>
    <t>Tanggal Realisasi Test</t>
  </si>
  <si>
    <t>Realisasi Umur Test</t>
  </si>
  <si>
    <t>Hasil Test</t>
  </si>
  <si>
    <t>Rusak</t>
  </si>
  <si>
    <t>Kode Benda Uji</t>
  </si>
  <si>
    <t>Jenis Retakan</t>
  </si>
  <si>
    <t>Kn</t>
  </si>
  <si>
    <t>Mpa</t>
  </si>
  <si>
    <t>Kg/cm2</t>
  </si>
  <si>
    <t>Berat (kg)</t>
  </si>
  <si>
    <t>Persentase Kekuatan (%)</t>
  </si>
  <si>
    <t>DOCKET/PTB/02-2026/01798</t>
  </si>
  <si>
    <t>SO/DIR2/DV2-4/01-2026/00092</t>
  </si>
  <si>
    <t>Pembangunan Jalan Tol Akses Patimban Paket 3</t>
  </si>
  <si>
    <t>HUTAMA KARYA - JAYA KONSTRUKSI JOINT OPERATION</t>
  </si>
  <si>
    <t>Class B-1 FA</t>
  </si>
  <si>
    <t>26-03-2026 00:00:00</t>
  </si>
  <si>
    <t>Silinder 15 x 30 cm</t>
  </si>
  <si>
    <t>Memenuhi</t>
  </si>
  <si>
    <t>Tidak</t>
  </si>
  <si>
    <t>HK - JAKON JO / HALFSLAB PS 13 STA 30+450 / CLASS B-1 / AD PTB</t>
  </si>
  <si>
    <t>C</t>
  </si>
  <si>
    <t>DOCKET/PTB/02-2026/01807</t>
  </si>
  <si>
    <t>A</t>
  </si>
  <si>
    <t>B</t>
  </si>
  <si>
    <t>DOCKET/PTB/02-2026/01787</t>
  </si>
  <si>
    <t>SO/DIR2/DV2-4/02-2026/00456</t>
  </si>
  <si>
    <t>JALAN TOL AKSES PATIMBAN</t>
  </si>
  <si>
    <t>PT. PEMBANGUNAN PERUMAHAN (PERSERO) TBK</t>
  </si>
  <si>
    <t>Fc-30 NFA</t>
  </si>
  <si>
    <t>PP - TOL PTB / PARAPET PW18 - PW20 (R) &amp; PE18 - PE20 (L) BRIDGE 8 STA. 20+359 - STA. 20+389 / FC 30 / AD PTB</t>
  </si>
  <si>
    <t>D</t>
  </si>
  <si>
    <t>DOCKET/PTB/02-2026/01792</t>
  </si>
  <si>
    <t>E</t>
  </si>
  <si>
    <t>DOCKET/PTB/02-2026/01819</t>
  </si>
  <si>
    <t>PP - TOL PTB / PILECAPE AE2 BRIDGE NO. 10 STA 21+670 / FC 30 / AD PTB</t>
  </si>
  <si>
    <t>DOCKET/PTB/02-2026/01822</t>
  </si>
  <si>
    <t>DOCKET/PTB/02-2026/01796</t>
  </si>
  <si>
    <t>SO/DIR2/DV2-4/01-2026/00276</t>
  </si>
  <si>
    <t>Patimban Access Toll Road P02 (JOI 60%)</t>
  </si>
  <si>
    <t>WASKITA - ABIPRAYA JO</t>
  </si>
  <si>
    <t>Class B-1 NFA</t>
  </si>
  <si>
    <t>WASKITA - ABP JO / PARAPET OP KRANJAT (PS.L) GRID P1 - ABT2 STA.0+956.444 - STA.0+951.544 / CLASS B-1 / AD PTB</t>
  </si>
  <si>
    <t>DOCKET/PTB/02-2026/01785</t>
  </si>
  <si>
    <t>SO/DIR2/DV2-4/01-2026/00046</t>
  </si>
  <si>
    <t>JALAN TOL AKSES PATIMBAN PAKET 4</t>
  </si>
  <si>
    <t>WIKA-ADHI JO</t>
  </si>
  <si>
    <t>WIKA - ADHI JO / DIAFRAGMA SPAN 7W MB25 / CLASS B-1 / AD PTB</t>
  </si>
  <si>
    <t>DOCKET/PTB/02-2026/01786</t>
  </si>
  <si>
    <t>DOCKET/PTB/02-2026/01800</t>
  </si>
  <si>
    <t>WIKA - ADHI JO / DINDING A1W STG.2 MB21 / CLASS B-1 / AD PTB</t>
  </si>
  <si>
    <t>DOCKET/PTB/02-2026/01804</t>
  </si>
  <si>
    <t>DOCKET/PTB/02-2026/01793</t>
  </si>
  <si>
    <t>WIKA - ADHI JO / PARAPET IC02 &amp; RAMP 7 / CLASS B-1 / AD PTB</t>
  </si>
  <si>
    <t>DOCKET/PTB/02-2026/01795</t>
  </si>
  <si>
    <t>DOCKET/PTB/02-2026/01788</t>
  </si>
  <si>
    <t>WIKA - ADHI JO / PARAPET SPAN 8W MB25 / CLASS B-1 / AD PTB</t>
  </si>
  <si>
    <t>DOCKET/PTB/02-2026/01790</t>
  </si>
  <si>
    <t>DOCKET/PTB/02-2026/01809</t>
  </si>
  <si>
    <t>WIKA - ADHI JO / PILEHEAD AL1, L1A-L1D, LEJ1 OP8 / CLASS B-1 / AD PTB</t>
  </si>
  <si>
    <t>DOCKET/PTB/02-2026/01813</t>
  </si>
  <si>
    <t>DOCKET/PTB/02-2026/01850</t>
  </si>
  <si>
    <t>27-03-2026 00:00:00</t>
  </si>
  <si>
    <t>HK - JAKON JO / TOP SLAB GRID A1 - A5 &amp; B1 - B5 PS11 / CLASS B-1 / AD PTB</t>
  </si>
  <si>
    <t>DOCKET/PTB/02-2026/01855</t>
  </si>
  <si>
    <t>DOCKET/PTB/02-2026/01859</t>
  </si>
  <si>
    <t>DOCKET/PTB/02-2026/01834</t>
  </si>
  <si>
    <t>HK - JAKON JO / TOP SLAB GRID A10 - A20 PS12 / CLASS B-1 / AD PTB</t>
  </si>
  <si>
    <t>DOCKET/PTB/02-2026/01838</t>
  </si>
  <si>
    <t>DOCKET/PTB/02-2026/01842</t>
  </si>
  <si>
    <t>DOCKET/PTB/02-2026/01846</t>
  </si>
  <si>
    <t>DOCKET/PTB/02-2026/01851</t>
  </si>
  <si>
    <t>PP - TOL PTB / DINDING A1 OVERPASS NO. 3 STA 21+746 / FC 30 / AD PTB</t>
  </si>
  <si>
    <t>DOCKET/PTB/02-2026/01826</t>
  </si>
  <si>
    <t>DOCKET/PTB/02-2026/01830</t>
  </si>
  <si>
    <t>WASKITA - ABP JO / PH OVERPASS KRANJAT (PS.L) - GRID PS.L.1 I, GRID PS.L.1 H &amp; GRID PSL.G. STA.0+911.544 S/D STA.0+901.544 / CLASS B-1 / AD PTB</t>
  </si>
  <si>
    <t>DOCKET/PTB/02-2026/01832</t>
  </si>
  <si>
    <t>DOCKET/PTB/02-2026/01863</t>
  </si>
  <si>
    <t>DOCKET/PTB/02-2026/01865</t>
  </si>
  <si>
    <t>DOCKET/PTB/02-2026/01866</t>
  </si>
  <si>
    <t>28-03-2026 00:00:00</t>
  </si>
  <si>
    <t>HK - JAKON JO / BARRIER TOP SLAB B28 - AE1 (R) PS16 / CLASS B-1 / AD PTB</t>
  </si>
  <si>
    <t>DOCKET/PTB/02-2026/01868</t>
  </si>
  <si>
    <t>DOCKET/PTB/02-2026/01869</t>
  </si>
  <si>
    <t>HK - JAKON JO / BARRIER TOP SLAB B1 - B11 (R) PS15 / CLASS B-1 / AD PTB</t>
  </si>
  <si>
    <t>DOCKET/PTB/02-2026/01871</t>
  </si>
  <si>
    <t>DOCKET/PTB/02-2026/01874</t>
  </si>
  <si>
    <t>HK - JAKON JO / TOP SLAB GRID A6 - A9 &amp; B5 - B9 PS14C / CLASS B-1 / AD PTB</t>
  </si>
  <si>
    <t>DOCKET/PTB/02-2026/01877</t>
  </si>
  <si>
    <t>DOCKET/PTB/02-2026/01880</t>
  </si>
  <si>
    <t>SO/DIR2/DV2-4/02-2026/00500</t>
  </si>
  <si>
    <t>VINFAST INDONESIA FACTORY (RC PHASE 2)</t>
  </si>
  <si>
    <t>PT. TATAMULIA NUSANTARA INDAH</t>
  </si>
  <si>
    <t>K-400 NFA</t>
  </si>
  <si>
    <t>TATA / K 400 / AD PTB</t>
  </si>
  <si>
    <t>DOCKET/PTB/02-2026/01882</t>
  </si>
  <si>
    <t>Tidak_Memenuhi</t>
  </si>
  <si>
    <t>DOCKET/PTB/03-2026/01903</t>
  </si>
  <si>
    <t>29-03-2026 00:00:00</t>
  </si>
  <si>
    <t>HK - JAKON JO / BARRIER A1 - A10 PS12 / CLASS B-1 / AD PTB</t>
  </si>
  <si>
    <t>DOCKET/PTB/03-2026/01906</t>
  </si>
  <si>
    <t>DOCKET/PTB/03-2026/01889</t>
  </si>
  <si>
    <t>DOCKET/PTB/03-2026/01893</t>
  </si>
  <si>
    <t>DOCKET/PTB/03-2026/01900</t>
  </si>
  <si>
    <t>PP - TOL PTB / PILESLAB B9 AW2 - AW5 STA 20+571 / FC 30 / AD PTB</t>
  </si>
  <si>
    <t>DOCKET/PTB/03-2026/01902</t>
  </si>
  <si>
    <t>DOCKET/PTB/02-2026/01884</t>
  </si>
  <si>
    <t>DOCKET/PTB/03-2026/01887</t>
  </si>
  <si>
    <t>DOCKET/PTB/03-2026/01892</t>
  </si>
  <si>
    <t>WIKA - ADHI JO / PARAPET ABT 1 - 2W INNER OUTER IC 02 / CLASS B-1 / AD PTB</t>
  </si>
  <si>
    <t>DOCKET/PTB/03-2026/01897</t>
  </si>
  <si>
    <t>DOCKET/PTB/03-2026/01923</t>
  </si>
  <si>
    <t>30-03-2026 00:00:00</t>
  </si>
  <si>
    <t>HK - JAKON JO / PILEHEAD GRID A/B 1 2 3 PS16A / CLASS B-1 / AD PTB</t>
  </si>
  <si>
    <t>DOCKET/PTB/03-2026/01935</t>
  </si>
  <si>
    <t>DOCKET/PTB/03-2026/01911</t>
  </si>
  <si>
    <t>DOCKET/PTB/03-2026/01914</t>
  </si>
  <si>
    <t>DOCKET/PTB/03-2026/01915</t>
  </si>
  <si>
    <t>DOCKET/PTB/03-2026/01916</t>
  </si>
  <si>
    <t>DOCKET/PTB/03-2026/01925</t>
  </si>
  <si>
    <t>WIKA - ADHI JO / PARAPET A1W - P4W OUTER INNER &amp; A1E - P1E OUTER MB22 / CLASS B-1 / AD PTB</t>
  </si>
  <si>
    <t>DOCKET/PTB/03-2026/01928</t>
  </si>
  <si>
    <t>DOCKET/PTB/03-2026/01919</t>
  </si>
  <si>
    <t>WIKA - ADHI JO / PARAPET EEJ2 - E3D PS18 / CLASS B-1 / AD PTB</t>
  </si>
  <si>
    <t>DOCKET/PTB/03-2026/01921</t>
  </si>
  <si>
    <t>DOCKET/PTB/03-2026/01945</t>
  </si>
  <si>
    <t>31-03-2026 00:00:00</t>
  </si>
  <si>
    <t>DOCKET/PTB/03-2026/01949</t>
  </si>
  <si>
    <t>DOCKET/PTB/03-2026/01953</t>
  </si>
  <si>
    <t>DOCKET/PTB/03-2026/01957</t>
  </si>
  <si>
    <t>DOCKET/PTB/03-2026/01943</t>
  </si>
  <si>
    <t>WASKITA - ABP JO / PH OVERPASS KRANJAT (PS.L) - GRID PS.L.1D, GRID PS.L.1E &amp; PS.L 1F STA.0+906.444 - STA.0+865.544 / CLASS B-1 / AD PTB</t>
  </si>
  <si>
    <t>DOCKET/PTB/03-2026/01944</t>
  </si>
  <si>
    <t>DOCKET/PTB/03-2026/01989</t>
  </si>
  <si>
    <t>Class E-1 FA</t>
  </si>
  <si>
    <t>01-04-2026 00:00:00</t>
  </si>
  <si>
    <t>HK - JAKON JO / LC DETOUR OP6 / CLASS E / AD PTB</t>
  </si>
  <si>
    <t>DOCKET/PTB/03-2026/01958</t>
  </si>
  <si>
    <t>DOCKET/PTB/03-2026/01959</t>
  </si>
  <si>
    <t>DOCKET/PTB/03-2026/01960</t>
  </si>
  <si>
    <t>DOCKET/PTB/03-2026/01961</t>
  </si>
  <si>
    <t>DOCKET/PTB/03-2026/01962</t>
  </si>
  <si>
    <t>DOCKET/PTB/03-2026/01963</t>
  </si>
  <si>
    <t>DOCKET/PTB/03-2026/01964</t>
  </si>
  <si>
    <t>DOCKET/PTB/03-2026/01965</t>
  </si>
  <si>
    <t>DOCKET/PTB/03-2026/01966</t>
  </si>
  <si>
    <t>DOCKET/PTB/03-2026/01986</t>
  </si>
  <si>
    <t>PP - TOL PTB / PARAPET PW14 - PW16 (R) &amp; PE14 - PE16 (L) BRIDGE 8 STA 20+299  - STA 20+329 / FC 30 / AD PTB</t>
  </si>
  <si>
    <t>DOCKET/PTB/03-2026/01987</t>
  </si>
  <si>
    <t>DOCKET/PTB/03-2026/01988</t>
  </si>
  <si>
    <t>DOCKET/PTB/03-2026/01990</t>
  </si>
  <si>
    <t>DOCKET/PTB/03-2026/01967</t>
  </si>
  <si>
    <t>SO/DIR2/DV2-4/02-2026/00330</t>
  </si>
  <si>
    <t>Class E-1 NFA</t>
  </si>
  <si>
    <t>WIKA - ADHI JO / LC FOOTING A1E MB21 / CLASS E / AD PTB</t>
  </si>
  <si>
    <t>DOCKET/PTB/03-2026/01976</t>
  </si>
  <si>
    <t>DOCKET/PTB/03-2026/01977</t>
  </si>
  <si>
    <t>WIKA - ADHI JO / PILESLAB E1A1 - E1A PS17 / CLASS B-1 / AD PTB</t>
  </si>
  <si>
    <t>DOCKET/PTB/03-2026/01981</t>
  </si>
  <si>
    <t>DOCKET/PTB/03-2026/01985</t>
  </si>
  <si>
    <t>DOCKET/PTB/03-2026/01969</t>
  </si>
  <si>
    <t>WIKA - ADHI JO / PILESLAB W1A1 - W1A PS17 / CLASS B-1 / AD PTB</t>
  </si>
  <si>
    <t>DOCKET/PTB/03-2026/01971</t>
  </si>
  <si>
    <t>DOCKET/PTB/03-2026/02001</t>
  </si>
  <si>
    <t>02-04-2026 00:00:00</t>
  </si>
  <si>
    <t>HK - JAKON JO / BARRIER TOP SLAB A5 - A11 (L) PS15 / CLASS B-1 / AD PTB</t>
  </si>
  <si>
    <t>DOCKET/PTB/03-2026/02002</t>
  </si>
  <si>
    <t>DOCKET/PTB/03-2026/01994</t>
  </si>
  <si>
    <t>HK - JAKON JO / BARRIER TOP SLAB GRID B1 - B11 (L) PS15 / CLASS B-1 / AD PTB</t>
  </si>
  <si>
    <t>DOCKET/PTB/03-2026/01996</t>
  </si>
  <si>
    <t>DOCKET/PTB/03-2026/02003</t>
  </si>
  <si>
    <t>DOCKET/PTB/03-2026/02007</t>
  </si>
  <si>
    <t>DOCKET/PTB/03-2026/02019</t>
  </si>
  <si>
    <t>DOCKET/PTB/03-2026/02027</t>
  </si>
  <si>
    <t>DOCKET/PTB/03-2026/01998</t>
  </si>
  <si>
    <t>PP - TOL PTB / DINDING A2 OP3 STA 21+735 / FC 30 / AD PTB</t>
  </si>
  <si>
    <t>DOCKET/PTB/03-2026/01999</t>
  </si>
  <si>
    <t>DOCKET/PTB/03-2026/02005</t>
  </si>
  <si>
    <t>WASKITA - ABP JO / PH OVERPASS KRANJAT (PS.L) - GRID PS.L.1C, GRID PS.L.B STA.0+860 S/D STA.0+855 / CLASS B-1 / AD PTB</t>
  </si>
  <si>
    <t>DOCKET/PTB/03-2026/02012</t>
  </si>
  <si>
    <t>DOCKET/PTB/03-2026/02008</t>
  </si>
  <si>
    <t>SO/DIR2/DV2-4/03-2026/00564</t>
  </si>
  <si>
    <t>WIKA - ADHI JO / PARAPET ABT 2 E INNER OUTER MB25 / CLASS B-1 / AD PTB</t>
  </si>
  <si>
    <t>DOCKET/PTB/03-2026/02010</t>
  </si>
  <si>
    <t>DOCKET/PTB/03-2026/02014</t>
  </si>
  <si>
    <t>WIKA - ADHI JO / SLAB SPAN 7W MB25 / CLASS B-1 / AD PTB</t>
  </si>
  <si>
    <t>DOCKET/PTB/03-2026/02020</t>
  </si>
  <si>
    <t>DOCKET/PTB/03-2026/02013</t>
  </si>
  <si>
    <t>WIKA-ADHI JOWIKA - ADHI JO / PARAPET ABT 2 E INNER OUTER MB25 / CLASS B-1 / AD PTB</t>
  </si>
  <si>
    <t>DOCKET/PTB/03-2026/02034</t>
  </si>
  <si>
    <t>03-04-2026 00:00:00</t>
  </si>
  <si>
    <t>HK - JAKON JO / BARRIER L1 - L8 OP5 / CLASS B-1 / AD PTB</t>
  </si>
  <si>
    <t>DOCKET/PTB/03-2026/02038</t>
  </si>
  <si>
    <t>DOCKET/PTB/03-2026/02052</t>
  </si>
  <si>
    <t>HK - JAKON JO / TOP SLAB GRID B1 - B10 PS12 / CLASS B-1 / AD PTB</t>
  </si>
  <si>
    <t>DOCKET/PTB/03-2026/02056</t>
  </si>
  <si>
    <t>DOCKET/PTB/03-2026/02061</t>
  </si>
  <si>
    <t>DOCKET/PTB/03-2026/02040</t>
  </si>
  <si>
    <t>WIKA - ADHI JO / PARAPET A1 - A2 OUTER MB23 / CLASS B-1 / AD PTB</t>
  </si>
  <si>
    <t>DOCKET/PTB/03-2026/02044</t>
  </si>
  <si>
    <t>DOCKET/PTB/03-2026/02031</t>
  </si>
  <si>
    <t>WIKA - ADHI JO / STUFFING L2A - L2D OP8 / CLASS B-1 / AD PTB</t>
  </si>
  <si>
    <t>DOCKET/PTB/03-2026/02033</t>
  </si>
  <si>
    <t>DOCKET/PTB/03-2026/02082</t>
  </si>
  <si>
    <t>04-04-2026 00:00:00</t>
  </si>
  <si>
    <t>DOCKET/PTB/03-2026/02084</t>
  </si>
  <si>
    <t>DOCKET/PTB/03-2026/02063</t>
  </si>
  <si>
    <t>DOCKET/PTB/03-2026/02071</t>
  </si>
  <si>
    <t>DOCKET/PTB/03-2026/02075</t>
  </si>
  <si>
    <t>DOCKET/PTB/03-2026/02079</t>
  </si>
  <si>
    <t>DOCKET/PTB/03-2026/02087</t>
  </si>
  <si>
    <t>DOCKET/PTB/03-2026/02089</t>
  </si>
  <si>
    <t>DOCKET/PTB/03-2026/02092</t>
  </si>
  <si>
    <t>05-04-2026 00:00:00</t>
  </si>
  <si>
    <t>WIKA - ADHI JO / PARAPET SPAN 7W MB25 / CLASS B-1 / AD PTB</t>
  </si>
  <si>
    <t>DOCKET/PTB/03-2026/02094</t>
  </si>
  <si>
    <t>DOCKET/PTB/03-2026/02096</t>
  </si>
  <si>
    <t>HK - JAKON JO / PLAT INJAK PS 13 GRID A &amp; B STA 30+450 / CLASS B-1 / AD PTB</t>
  </si>
  <si>
    <t>DOCKET/PTB/03-2026/02100</t>
  </si>
  <si>
    <t>DOCKET/PTB/03-2026/02127</t>
  </si>
  <si>
    <t>06-04-2026 00:00:00</t>
  </si>
  <si>
    <t>HK - JAKON JO / BARRIER BRIDGE 16 AE STA 28+100 / CLASS B-1 / AD PTB</t>
  </si>
  <si>
    <t>DOCKET/PTB/03-2026/02135</t>
  </si>
  <si>
    <t>DOCKET/PTB/03-2026/02147</t>
  </si>
  <si>
    <t>HK - JAKON JO / BARRIER GRID A1 - A5 &amp; B1 - B5 PS 11 STA 28+000 / CLASS B-1 / AD PTB</t>
  </si>
  <si>
    <t>DOCKET/PTB/03-2026/02149</t>
  </si>
  <si>
    <t>DOCKET/PTB/03-2026/02120</t>
  </si>
  <si>
    <t>HK - JAKON JO / BARRIER TOP SLAB GRID A1 - A11 (R), GRID A1 - A5 (L) PS15 / CLASS B-1 / AD PTB</t>
  </si>
  <si>
    <t>DOCKET/PTB/03-2026/02128</t>
  </si>
  <si>
    <t>DOCKET/PTB/03-2026/02116</t>
  </si>
  <si>
    <t>DOCKET/PTB/03-2026/02118</t>
  </si>
  <si>
    <t>DOCKET/PTB/03-2026/02107</t>
  </si>
  <si>
    <t>PP - TOL PTB / PILESLAB 04 STA STA. 20+571 B9 AE2 - PS4 E4 / FC 30 / AD PTB</t>
  </si>
  <si>
    <t>DOCKET/PTB/03-2026/02110</t>
  </si>
  <si>
    <t>DOCKET/PTB/03-2026/02123</t>
  </si>
  <si>
    <t>WIKA - ADHI JO / PARAPET P3E - P7E OUTER MB 22 / CLASS B-1 / AD PTB</t>
  </si>
  <si>
    <t>DOCKET/PTB/03-2026/02126</t>
  </si>
  <si>
    <t>DOCKET/PTB/03-2026/02138</t>
  </si>
  <si>
    <t>WIKA - ADHI JO / PILESLAB W8I - A1W MB21 / CLASS B-1 / AD PTB</t>
  </si>
  <si>
    <t>DOCKET/PTB/03-2026/02140</t>
  </si>
  <si>
    <t>DOCKET/PTB/03-2026/02143</t>
  </si>
  <si>
    <t>WIKA - ADHI JO / STUFFING A1E MB21 / CLASS B-1 / AD PTB</t>
  </si>
  <si>
    <t>DOCKET/PTB/03-2026/02146</t>
  </si>
  <si>
    <t>DOCKET/PTB/03-2026/02152</t>
  </si>
  <si>
    <t>PP - TOL PTB / DINDING AE2 B10 STA 21+687 / FC 30 / AD PTB</t>
  </si>
  <si>
    <t>DOCKET/PTB/03-2026/02153</t>
  </si>
  <si>
    <t>DOCKET/PTB/03-2026/02159</t>
  </si>
  <si>
    <t>07-04-2026 00:00:00</t>
  </si>
  <si>
    <t>HK - JAKON JO / LC DETOUR OP 6 / CLASS E / AD PTB</t>
  </si>
  <si>
    <t>DOCKET/PTB/03-2026/02160</t>
  </si>
  <si>
    <t>DOCKET/PTB/03-2026/02166</t>
  </si>
  <si>
    <t>HK - JAKON JO / LC P1' BRIDGE 19 / CLASS E / AD PTB</t>
  </si>
  <si>
    <t>DOCKET/PTB/03-2026/02169</t>
  </si>
  <si>
    <t>DOCKET/PTB/03-2026/02180</t>
  </si>
  <si>
    <t>HK - JAKON JO / TOP SLAB GRID B10 - B20 PS12 / CLASS B-1 / AD PTB</t>
  </si>
  <si>
    <t>DOCKET/PTB/03-2026/02197</t>
  </si>
  <si>
    <t>DOCKET/PTB/03-2026/02202</t>
  </si>
  <si>
    <t>DOCKET/PTB/03-2026/02207</t>
  </si>
  <si>
    <t>DOCKET/PTB/03-2026/02156</t>
  </si>
  <si>
    <t>DOCKET/PTB/03-2026/02158</t>
  </si>
  <si>
    <t>DOCKET/PTB/03-2026/02170</t>
  </si>
  <si>
    <t>WIKA - ADHI JO / FOOTING P2 OP 8 / CLASS B-1 / AD PTB</t>
  </si>
  <si>
    <t>DOCKET/PTB/03-2026/02175</t>
  </si>
  <si>
    <t>DOCKET/PTB/03-2026/02182</t>
  </si>
  <si>
    <t>DOCKET/PTB/03-2026/02188</t>
  </si>
  <si>
    <t>DOCKET/PTB/03-2026/02161</t>
  </si>
  <si>
    <t>WIKA - ADHI JO / PARAPET P7E - P12E MB 22 / CLASS B-1 / AD PTB</t>
  </si>
  <si>
    <t>DOCKET/PTB/03-2026/02165</t>
  </si>
  <si>
    <t>DOCKET/PTB/03-2026/02228</t>
  </si>
  <si>
    <t>08-04-2026 00:00:00</t>
  </si>
  <si>
    <t>HK - JAKON JO / BARRIER TOP SLAB PW2 - GRID A9 PS14C / CLASS B-1 / AD PTB</t>
  </si>
  <si>
    <t>DOCKET/PTB/03-2026/02232</t>
  </si>
  <si>
    <t>DOCKET/PTB/03-2026/02237</t>
  </si>
  <si>
    <t>HK - JAKON JO / TOP SLAB GRID A1 - A5 PS14A / CLASS B-1 / AD PTB</t>
  </si>
  <si>
    <t>DOCKET/PTB/03-2026/02240</t>
  </si>
  <si>
    <t>DOCKET/PTB/03-2026/02210</t>
  </si>
  <si>
    <t>DOCKET/PTB/03-2026/02214</t>
  </si>
  <si>
    <t>DOCKET/PTB/03-2026/02218</t>
  </si>
  <si>
    <t>DOCKET/PTB/03-2026/02222</t>
  </si>
  <si>
    <t>WIKA - ADHI JO / PILEHEAD L2A - L2D OP 8 / CLASS B-1 / AD PTB</t>
  </si>
  <si>
    <t>DOCKET/PTB/03-2026/02226</t>
  </si>
  <si>
    <t>DOCKET/PTB/03-2026/02262</t>
  </si>
  <si>
    <t>09-04-2026 00:00:00</t>
  </si>
  <si>
    <t>HK - JAKON JO / PILEHEAD KIARA KANAN STA 28+800 / CLASS B-1 / AD PTB</t>
  </si>
  <si>
    <t>DOCKET/PTB/03-2026/02264</t>
  </si>
  <si>
    <t>DOCKET/PTB/03-2026/02243</t>
  </si>
  <si>
    <t>DOCKET/PTB/03-2026/02246</t>
  </si>
  <si>
    <t>DOCKET/PTB/03-2026/02250</t>
  </si>
  <si>
    <t>DOCKET/PTB/03-2026/02254</t>
  </si>
  <si>
    <t>DOCKET/PTB/03-2026/02256</t>
  </si>
  <si>
    <t>PP - TOL PTB / DINDING A1 STG.2 OP 03 STA 21+746 / FC 30 / AD PTB</t>
  </si>
  <si>
    <t>DOCKET/PTB/03-2026/02259</t>
  </si>
  <si>
    <t>DOCKET/PTB/03-2026/02267</t>
  </si>
  <si>
    <t>DOCKET/PTB/03-2026/02269</t>
  </si>
  <si>
    <t>DOCKET/PTB/03-2026/02277</t>
  </si>
  <si>
    <t>10-04-2026 00:00:00</t>
  </si>
  <si>
    <t>HK - JAKON JO / BARRIER TOP SLAB GRID A1 - PE1 PS14B / CLASS B-1 / AD PTB</t>
  </si>
  <si>
    <t>DOCKET/PTB/03-2026/02279</t>
  </si>
  <si>
    <t>DOCKET/PTB/03-2026/02275</t>
  </si>
  <si>
    <t>HK - JAKON JO / BARRIER TOP SLAB PE 2 GRID B9 PS14C / CLASS B-1 / AD PTB</t>
  </si>
  <si>
    <t>DOCKET/PTB/03-2026/02276</t>
  </si>
  <si>
    <t>DOCKET/PTB/03-2026/02270</t>
  </si>
  <si>
    <t>DOCKET/PTB/03-2026/02272</t>
  </si>
  <si>
    <t>DOCKET/PTB/03-2026/02280</t>
  </si>
  <si>
    <t>HK - JAKON JO / TOP SLAB GRID B5 AE PS14 / CLASS B-1 / AD PTB</t>
  </si>
  <si>
    <t>DOCKET/PTB/03-2026/02274</t>
  </si>
  <si>
    <t>WASKITA - ABP JO / LC PONDASI BP &amp; PERBAIKAN AKSES WARGA / CLASS E / AD PTB</t>
  </si>
  <si>
    <t>DOCKET/PTB/03-2026/02281</t>
  </si>
  <si>
    <t>DOCKET/PTB/03-2026/02285</t>
  </si>
  <si>
    <t>DOCKET/PTB/03-2026/02289</t>
  </si>
  <si>
    <t>DOCKET/PTB/03-2026/02295</t>
  </si>
  <si>
    <t>DOCKET/PTB/03-2026/02410</t>
  </si>
  <si>
    <t>DOCKET/PTB/04-2026/02414</t>
  </si>
  <si>
    <t>DOCKET/PTB/04-2026/02418</t>
  </si>
  <si>
    <t>DOCKET/PTB/04-2026/02421</t>
  </si>
  <si>
    <t>DOCKET/PTB/04-2026/02425</t>
  </si>
  <si>
    <t>HK - JAKON JO / DETOUR OP 6 / CLASS B-1 / AD PTB</t>
  </si>
  <si>
    <t>DOCKET/PTB/04-2026/02428</t>
  </si>
  <si>
    <t>DOCKET/PTB/04-2026/02431</t>
  </si>
  <si>
    <t>HK - JAKON JO / BARRIER TOP SLAB GRID A10 - A20 PS 12 / CLASS B-1 / AD PTB</t>
  </si>
  <si>
    <t>DOCKET/PTB/04-2026/02434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</si>
</sst>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874A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93"/>
  <sheetViews>
    <sheetView tabSelected="1" topLeftCell="N1" workbookViewId="0">
      <selection activeCell="V8" sqref="V8"/>
    </sheetView>
  </sheetViews>
  <sheetFormatPr defaultRowHeight="15" x14ac:dyDescent="0.25"/>
  <cols>
    <col min="1" max="8" width="20.7109375" customWidth="1"/>
    <col min="9" max="9" width="30.7109375" customWidth="1"/>
    <col min="10" max="10" width="20.7109375" customWidth="1"/>
    <col min="11" max="14" width="30.7109375" customWidth="1"/>
    <col min="15" max="15" width="10.7109375" customWidth="1"/>
    <col min="16" max="26" width="30.7109375" customWidth="1"/>
  </cols>
  <sheetData>
    <row r="1" spans="1:22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2" x14ac:dyDescent="0.25">
      <c r="A2" t="s">
        <v>21</v>
      </c>
      <c r="B2" t="s">
        <v>22</v>
      </c>
      <c r="C2" t="s">
        <v>23</v>
      </c>
      <c r="D2" t="s">
        <v>24</v>
      </c>
      <c r="E2" t="s">
        <v>25</v>
      </c>
      <c r="F2">
        <v>3</v>
      </c>
      <c r="G2" t="s">
        <v>26</v>
      </c>
      <c r="H2" s="2">
        <v>28</v>
      </c>
      <c r="I2" t="s">
        <v>27</v>
      </c>
      <c r="J2">
        <v>100</v>
      </c>
      <c r="K2" t="s">
        <v>26</v>
      </c>
      <c r="L2">
        <v>28</v>
      </c>
      <c r="M2" t="s">
        <v>28</v>
      </c>
      <c r="N2" t="s">
        <v>29</v>
      </c>
      <c r="O2" t="s">
        <v>30</v>
      </c>
      <c r="P2" t="s">
        <v>31</v>
      </c>
      <c r="Q2">
        <v>640.69000000000005</v>
      </c>
      <c r="R2">
        <v>36.26</v>
      </c>
      <c r="S2">
        <v>445.44</v>
      </c>
      <c r="T2">
        <v>12.35</v>
      </c>
      <c r="U2">
        <v>44544</v>
      </c>
    </row>
    <row r="3" spans="1:22" x14ac:dyDescent="0.25">
      <c r="A3" t="s">
        <v>21</v>
      </c>
      <c r="B3" t="s">
        <v>22</v>
      </c>
      <c r="C3" t="s">
        <v>23</v>
      </c>
      <c r="D3" t="s">
        <v>24</v>
      </c>
      <c r="E3" t="s">
        <v>25</v>
      </c>
      <c r="F3">
        <v>4</v>
      </c>
      <c r="G3" t="s">
        <v>26</v>
      </c>
      <c r="H3" s="2">
        <v>28</v>
      </c>
      <c r="I3" t="s">
        <v>27</v>
      </c>
      <c r="J3">
        <v>100</v>
      </c>
      <c r="K3" t="s">
        <v>26</v>
      </c>
      <c r="L3">
        <v>28</v>
      </c>
      <c r="M3" t="s">
        <v>28</v>
      </c>
      <c r="N3" t="s">
        <v>29</v>
      </c>
      <c r="O3" t="s">
        <v>30</v>
      </c>
      <c r="P3" t="s">
        <v>31</v>
      </c>
      <c r="Q3">
        <v>633.20000000000005</v>
      </c>
      <c r="R3">
        <v>35.840000000000003</v>
      </c>
      <c r="S3">
        <v>440.23</v>
      </c>
      <c r="T3">
        <v>12.33</v>
      </c>
      <c r="U3">
        <v>44023</v>
      </c>
      <c r="V3">
        <f>MIN(Q2:Q171)</f>
        <v>500</v>
      </c>
    </row>
    <row r="4" spans="1:22" x14ac:dyDescent="0.25">
      <c r="A4" t="s">
        <v>32</v>
      </c>
      <c r="B4" t="s">
        <v>22</v>
      </c>
      <c r="C4" t="s">
        <v>23</v>
      </c>
      <c r="D4" t="s">
        <v>24</v>
      </c>
      <c r="E4" t="s">
        <v>25</v>
      </c>
      <c r="F4">
        <v>3</v>
      </c>
      <c r="G4" t="s">
        <v>26</v>
      </c>
      <c r="H4" s="2">
        <v>28</v>
      </c>
      <c r="I4" t="s">
        <v>27</v>
      </c>
      <c r="J4">
        <v>100</v>
      </c>
      <c r="K4" t="s">
        <v>26</v>
      </c>
      <c r="L4">
        <v>28</v>
      </c>
      <c r="M4" t="s">
        <v>28</v>
      </c>
      <c r="N4" t="s">
        <v>29</v>
      </c>
      <c r="O4" t="s">
        <v>30</v>
      </c>
      <c r="P4" t="s">
        <v>33</v>
      </c>
      <c r="Q4">
        <v>552.53</v>
      </c>
      <c r="R4">
        <v>31.27</v>
      </c>
      <c r="S4">
        <v>384.14</v>
      </c>
      <c r="T4">
        <v>12.3</v>
      </c>
      <c r="U4">
        <v>38414</v>
      </c>
      <c r="V4">
        <f>MAX(Q2:Q171)</f>
        <v>655.63</v>
      </c>
    </row>
    <row r="5" spans="1:22" x14ac:dyDescent="0.25">
      <c r="A5" t="s">
        <v>32</v>
      </c>
      <c r="B5" t="s">
        <v>22</v>
      </c>
      <c r="C5" t="s">
        <v>23</v>
      </c>
      <c r="D5" t="s">
        <v>24</v>
      </c>
      <c r="E5" t="s">
        <v>25</v>
      </c>
      <c r="F5">
        <v>4</v>
      </c>
      <c r="G5" t="s">
        <v>26</v>
      </c>
      <c r="H5" s="2">
        <v>28</v>
      </c>
      <c r="I5" t="s">
        <v>27</v>
      </c>
      <c r="J5">
        <v>100</v>
      </c>
      <c r="K5" t="s">
        <v>26</v>
      </c>
      <c r="L5">
        <v>28</v>
      </c>
      <c r="M5" t="s">
        <v>28</v>
      </c>
      <c r="N5" t="s">
        <v>29</v>
      </c>
      <c r="O5" t="s">
        <v>30</v>
      </c>
      <c r="P5" t="s">
        <v>34</v>
      </c>
      <c r="Q5">
        <v>561.41</v>
      </c>
      <c r="R5">
        <v>31.78</v>
      </c>
      <c r="S5">
        <v>390.32</v>
      </c>
      <c r="T5">
        <v>12.43</v>
      </c>
      <c r="U5">
        <v>39032</v>
      </c>
      <c r="V5">
        <f>_xlfn.STDEV.S(Q2:Q171)</f>
        <v>36.64497087312769</v>
      </c>
    </row>
    <row r="6" spans="1:22" x14ac:dyDescent="0.25">
      <c r="A6" t="s">
        <v>71</v>
      </c>
      <c r="B6" t="s">
        <v>22</v>
      </c>
      <c r="C6" t="s">
        <v>23</v>
      </c>
      <c r="D6" t="s">
        <v>24</v>
      </c>
      <c r="E6" t="s">
        <v>25</v>
      </c>
      <c r="F6">
        <v>3</v>
      </c>
      <c r="G6" t="s">
        <v>72</v>
      </c>
      <c r="H6" s="2">
        <v>28</v>
      </c>
      <c r="I6" t="s">
        <v>27</v>
      </c>
      <c r="J6">
        <v>100</v>
      </c>
      <c r="K6" t="s">
        <v>72</v>
      </c>
      <c r="L6">
        <v>28</v>
      </c>
      <c r="M6" t="s">
        <v>28</v>
      </c>
      <c r="N6" t="s">
        <v>29</v>
      </c>
      <c r="O6" t="s">
        <v>73</v>
      </c>
      <c r="P6" t="s">
        <v>41</v>
      </c>
      <c r="Q6">
        <v>556.34</v>
      </c>
      <c r="R6">
        <v>31.49</v>
      </c>
      <c r="S6">
        <v>386.79</v>
      </c>
      <c r="T6">
        <v>12.2</v>
      </c>
      <c r="U6">
        <v>38679</v>
      </c>
    </row>
    <row r="7" spans="1:22" x14ac:dyDescent="0.25">
      <c r="A7" t="s">
        <v>71</v>
      </c>
      <c r="B7" t="s">
        <v>22</v>
      </c>
      <c r="C7" t="s">
        <v>23</v>
      </c>
      <c r="D7" t="s">
        <v>24</v>
      </c>
      <c r="E7" t="s">
        <v>25</v>
      </c>
      <c r="F7">
        <v>4</v>
      </c>
      <c r="G7" t="s">
        <v>72</v>
      </c>
      <c r="H7" s="2">
        <v>28</v>
      </c>
      <c r="I7" t="s">
        <v>27</v>
      </c>
      <c r="J7">
        <v>100</v>
      </c>
      <c r="K7" t="s">
        <v>72</v>
      </c>
      <c r="L7">
        <v>28</v>
      </c>
      <c r="M7" t="s">
        <v>28</v>
      </c>
      <c r="N7" t="s">
        <v>29</v>
      </c>
      <c r="O7" t="s">
        <v>73</v>
      </c>
      <c r="P7" t="s">
        <v>31</v>
      </c>
      <c r="Q7">
        <v>570.04999999999995</v>
      </c>
      <c r="R7">
        <v>32.270000000000003</v>
      </c>
      <c r="S7">
        <v>396.32</v>
      </c>
      <c r="T7">
        <v>12.43</v>
      </c>
      <c r="U7">
        <v>39632</v>
      </c>
    </row>
    <row r="8" spans="1:22" x14ac:dyDescent="0.25">
      <c r="A8" t="s">
        <v>74</v>
      </c>
      <c r="B8" t="s">
        <v>22</v>
      </c>
      <c r="C8" t="s">
        <v>23</v>
      </c>
      <c r="D8" t="s">
        <v>24</v>
      </c>
      <c r="E8" t="s">
        <v>25</v>
      </c>
      <c r="F8">
        <v>3</v>
      </c>
      <c r="G8" t="s">
        <v>72</v>
      </c>
      <c r="H8" s="2">
        <v>28</v>
      </c>
      <c r="I8" t="s">
        <v>27</v>
      </c>
      <c r="J8">
        <v>100</v>
      </c>
      <c r="K8" t="s">
        <v>72</v>
      </c>
      <c r="L8">
        <v>28</v>
      </c>
      <c r="M8" t="s">
        <v>28</v>
      </c>
      <c r="N8" t="s">
        <v>29</v>
      </c>
      <c r="O8" t="s">
        <v>73</v>
      </c>
      <c r="P8" t="s">
        <v>34</v>
      </c>
      <c r="Q8">
        <v>629.46</v>
      </c>
      <c r="R8">
        <v>35.630000000000003</v>
      </c>
      <c r="S8">
        <v>437.63</v>
      </c>
      <c r="T8">
        <v>12.43</v>
      </c>
      <c r="U8">
        <v>43763</v>
      </c>
    </row>
    <row r="9" spans="1:22" x14ac:dyDescent="0.25">
      <c r="A9" t="s">
        <v>74</v>
      </c>
      <c r="B9" t="s">
        <v>22</v>
      </c>
      <c r="C9" t="s">
        <v>23</v>
      </c>
      <c r="D9" t="s">
        <v>24</v>
      </c>
      <c r="E9" t="s">
        <v>25</v>
      </c>
      <c r="F9">
        <v>4</v>
      </c>
      <c r="G9" t="s">
        <v>72</v>
      </c>
      <c r="H9" s="2">
        <v>28</v>
      </c>
      <c r="I9" t="s">
        <v>27</v>
      </c>
      <c r="J9">
        <v>100</v>
      </c>
      <c r="K9" t="s">
        <v>72</v>
      </c>
      <c r="L9">
        <v>28</v>
      </c>
      <c r="M9" t="s">
        <v>28</v>
      </c>
      <c r="N9" t="s">
        <v>29</v>
      </c>
      <c r="O9" t="s">
        <v>73</v>
      </c>
      <c r="P9" t="s">
        <v>43</v>
      </c>
      <c r="Q9">
        <v>611.72</v>
      </c>
      <c r="R9">
        <v>34.619999999999997</v>
      </c>
      <c r="S9">
        <v>425.29</v>
      </c>
      <c r="T9">
        <v>12.23</v>
      </c>
      <c r="U9">
        <v>42529</v>
      </c>
    </row>
    <row r="10" spans="1:22" x14ac:dyDescent="0.25">
      <c r="A10" t="s">
        <v>75</v>
      </c>
      <c r="B10" t="s">
        <v>22</v>
      </c>
      <c r="C10" t="s">
        <v>23</v>
      </c>
      <c r="D10" t="s">
        <v>24</v>
      </c>
      <c r="E10" t="s">
        <v>25</v>
      </c>
      <c r="F10">
        <v>3</v>
      </c>
      <c r="G10" t="s">
        <v>72</v>
      </c>
      <c r="H10" s="2">
        <v>28</v>
      </c>
      <c r="I10" t="s">
        <v>27</v>
      </c>
      <c r="J10">
        <v>100</v>
      </c>
      <c r="K10" t="s">
        <v>72</v>
      </c>
      <c r="L10">
        <v>28</v>
      </c>
      <c r="M10" t="s">
        <v>28</v>
      </c>
      <c r="N10" t="s">
        <v>29</v>
      </c>
      <c r="O10" t="s">
        <v>73</v>
      </c>
      <c r="P10" t="s">
        <v>34</v>
      </c>
      <c r="Q10">
        <v>576.5</v>
      </c>
      <c r="R10">
        <v>32.619999999999997</v>
      </c>
      <c r="S10">
        <v>400.81</v>
      </c>
      <c r="T10">
        <v>12.33</v>
      </c>
      <c r="U10">
        <v>40081</v>
      </c>
    </row>
    <row r="11" spans="1:22" x14ac:dyDescent="0.25">
      <c r="A11" t="s">
        <v>75</v>
      </c>
      <c r="B11" t="s">
        <v>22</v>
      </c>
      <c r="C11" t="s">
        <v>23</v>
      </c>
      <c r="D11" t="s">
        <v>24</v>
      </c>
      <c r="E11" t="s">
        <v>25</v>
      </c>
      <c r="F11">
        <v>4</v>
      </c>
      <c r="G11" t="s">
        <v>72</v>
      </c>
      <c r="H11" s="2">
        <v>28</v>
      </c>
      <c r="I11" t="s">
        <v>27</v>
      </c>
      <c r="J11">
        <v>100</v>
      </c>
      <c r="K11" t="s">
        <v>72</v>
      </c>
      <c r="L11">
        <v>28</v>
      </c>
      <c r="M11" t="s">
        <v>28</v>
      </c>
      <c r="N11" t="s">
        <v>29</v>
      </c>
      <c r="O11" t="s">
        <v>73</v>
      </c>
      <c r="P11" t="s">
        <v>41</v>
      </c>
      <c r="Q11">
        <v>563.36</v>
      </c>
      <c r="R11">
        <v>31.88</v>
      </c>
      <c r="S11">
        <v>391.67</v>
      </c>
      <c r="T11">
        <v>12.27</v>
      </c>
      <c r="U11">
        <v>39167</v>
      </c>
    </row>
    <row r="12" spans="1:22" x14ac:dyDescent="0.25">
      <c r="A12" t="s">
        <v>76</v>
      </c>
      <c r="B12" t="s">
        <v>22</v>
      </c>
      <c r="C12" t="s">
        <v>23</v>
      </c>
      <c r="D12" t="s">
        <v>24</v>
      </c>
      <c r="E12" t="s">
        <v>25</v>
      </c>
      <c r="F12">
        <v>3</v>
      </c>
      <c r="G12" t="s">
        <v>72</v>
      </c>
      <c r="H12" s="2">
        <v>28</v>
      </c>
      <c r="I12" t="s">
        <v>27</v>
      </c>
      <c r="J12">
        <v>100</v>
      </c>
      <c r="K12" t="s">
        <v>72</v>
      </c>
      <c r="L12">
        <v>28</v>
      </c>
      <c r="M12" t="s">
        <v>28</v>
      </c>
      <c r="N12" t="s">
        <v>29</v>
      </c>
      <c r="O12" t="s">
        <v>77</v>
      </c>
      <c r="P12" t="s">
        <v>41</v>
      </c>
      <c r="Q12">
        <v>585.11</v>
      </c>
      <c r="R12">
        <v>33.119999999999997</v>
      </c>
      <c r="S12">
        <v>406.79</v>
      </c>
      <c r="T12">
        <v>12.25</v>
      </c>
      <c r="U12">
        <v>40679</v>
      </c>
    </row>
    <row r="13" spans="1:22" x14ac:dyDescent="0.25">
      <c r="A13" t="s">
        <v>76</v>
      </c>
      <c r="B13" t="s">
        <v>22</v>
      </c>
      <c r="C13" t="s">
        <v>23</v>
      </c>
      <c r="D13" t="s">
        <v>24</v>
      </c>
      <c r="E13" t="s">
        <v>25</v>
      </c>
      <c r="F13">
        <v>4</v>
      </c>
      <c r="G13" t="s">
        <v>72</v>
      </c>
      <c r="H13" s="2">
        <v>28</v>
      </c>
      <c r="I13" t="s">
        <v>27</v>
      </c>
      <c r="J13">
        <v>100</v>
      </c>
      <c r="K13" t="s">
        <v>72</v>
      </c>
      <c r="L13">
        <v>28</v>
      </c>
      <c r="M13" t="s">
        <v>28</v>
      </c>
      <c r="N13" t="s">
        <v>29</v>
      </c>
      <c r="O13" t="s">
        <v>77</v>
      </c>
      <c r="P13" t="s">
        <v>34</v>
      </c>
      <c r="Q13">
        <v>593.07000000000005</v>
      </c>
      <c r="R13">
        <v>33.57</v>
      </c>
      <c r="S13">
        <v>412.33</v>
      </c>
      <c r="T13">
        <v>12.14</v>
      </c>
      <c r="U13">
        <v>41233</v>
      </c>
    </row>
    <row r="14" spans="1:22" x14ac:dyDescent="0.25">
      <c r="A14" t="s">
        <v>78</v>
      </c>
      <c r="B14" t="s">
        <v>22</v>
      </c>
      <c r="C14" t="s">
        <v>23</v>
      </c>
      <c r="D14" t="s">
        <v>24</v>
      </c>
      <c r="E14" t="s">
        <v>25</v>
      </c>
      <c r="F14">
        <v>3</v>
      </c>
      <c r="G14" t="s">
        <v>72</v>
      </c>
      <c r="H14" s="2">
        <v>28</v>
      </c>
      <c r="I14" t="s">
        <v>27</v>
      </c>
      <c r="J14">
        <v>100</v>
      </c>
      <c r="K14" t="s">
        <v>72</v>
      </c>
      <c r="L14">
        <v>28</v>
      </c>
      <c r="M14" t="s">
        <v>28</v>
      </c>
      <c r="N14" t="s">
        <v>29</v>
      </c>
      <c r="O14" t="s">
        <v>77</v>
      </c>
      <c r="P14" t="s">
        <v>31</v>
      </c>
      <c r="Q14">
        <v>560.07000000000005</v>
      </c>
      <c r="R14">
        <v>31.69</v>
      </c>
      <c r="S14">
        <v>389.39</v>
      </c>
      <c r="T14">
        <v>12.14</v>
      </c>
      <c r="U14">
        <v>38939</v>
      </c>
    </row>
    <row r="15" spans="1:22" x14ac:dyDescent="0.25">
      <c r="A15" t="s">
        <v>78</v>
      </c>
      <c r="B15" t="s">
        <v>22</v>
      </c>
      <c r="C15" t="s">
        <v>23</v>
      </c>
      <c r="D15" t="s">
        <v>24</v>
      </c>
      <c r="E15" t="s">
        <v>25</v>
      </c>
      <c r="F15">
        <v>4</v>
      </c>
      <c r="G15" t="s">
        <v>72</v>
      </c>
      <c r="H15" s="2">
        <v>28</v>
      </c>
      <c r="I15" t="s">
        <v>27</v>
      </c>
      <c r="J15">
        <v>100</v>
      </c>
      <c r="K15" t="s">
        <v>72</v>
      </c>
      <c r="L15">
        <v>28</v>
      </c>
      <c r="M15" t="s">
        <v>28</v>
      </c>
      <c r="N15" t="s">
        <v>29</v>
      </c>
      <c r="O15" t="s">
        <v>77</v>
      </c>
      <c r="P15" t="s">
        <v>43</v>
      </c>
      <c r="Q15">
        <v>651.64</v>
      </c>
      <c r="R15">
        <v>36.880000000000003</v>
      </c>
      <c r="S15">
        <v>453.05</v>
      </c>
      <c r="T15">
        <v>12.45</v>
      </c>
      <c r="U15">
        <v>45305</v>
      </c>
    </row>
    <row r="16" spans="1:22" x14ac:dyDescent="0.25">
      <c r="A16" t="s">
        <v>79</v>
      </c>
      <c r="B16" t="s">
        <v>22</v>
      </c>
      <c r="C16" t="s">
        <v>23</v>
      </c>
      <c r="D16" t="s">
        <v>24</v>
      </c>
      <c r="E16" t="s">
        <v>25</v>
      </c>
      <c r="F16">
        <v>3</v>
      </c>
      <c r="G16" t="s">
        <v>72</v>
      </c>
      <c r="H16" s="2">
        <v>28</v>
      </c>
      <c r="I16" t="s">
        <v>27</v>
      </c>
      <c r="J16">
        <v>100</v>
      </c>
      <c r="K16" t="s">
        <v>72</v>
      </c>
      <c r="L16">
        <v>28</v>
      </c>
      <c r="M16" t="s">
        <v>28</v>
      </c>
      <c r="N16" t="s">
        <v>29</v>
      </c>
      <c r="O16" t="s">
        <v>77</v>
      </c>
      <c r="P16" t="s">
        <v>31</v>
      </c>
      <c r="Q16">
        <v>575.5</v>
      </c>
      <c r="R16">
        <v>32.57</v>
      </c>
      <c r="S16">
        <v>400.11</v>
      </c>
      <c r="T16">
        <v>12.44</v>
      </c>
      <c r="U16">
        <v>40011</v>
      </c>
    </row>
    <row r="17" spans="1:21" x14ac:dyDescent="0.25">
      <c r="A17" t="s">
        <v>79</v>
      </c>
      <c r="B17" t="s">
        <v>22</v>
      </c>
      <c r="C17" t="s">
        <v>23</v>
      </c>
      <c r="D17" t="s">
        <v>24</v>
      </c>
      <c r="E17" t="s">
        <v>25</v>
      </c>
      <c r="F17">
        <v>4</v>
      </c>
      <c r="G17" t="s">
        <v>72</v>
      </c>
      <c r="H17" s="2">
        <v>28</v>
      </c>
      <c r="I17" t="s">
        <v>27</v>
      </c>
      <c r="J17">
        <v>100</v>
      </c>
      <c r="K17" t="s">
        <v>72</v>
      </c>
      <c r="L17">
        <v>28</v>
      </c>
      <c r="M17" t="s">
        <v>28</v>
      </c>
      <c r="N17" t="s">
        <v>29</v>
      </c>
      <c r="O17" t="s">
        <v>77</v>
      </c>
      <c r="P17" t="s">
        <v>33</v>
      </c>
      <c r="Q17">
        <v>589.6</v>
      </c>
      <c r="R17">
        <v>33.369999999999997</v>
      </c>
      <c r="S17">
        <v>409.92</v>
      </c>
      <c r="T17">
        <v>12.11</v>
      </c>
      <c r="U17">
        <v>40992</v>
      </c>
    </row>
    <row r="18" spans="1:21" x14ac:dyDescent="0.25">
      <c r="A18" t="s">
        <v>80</v>
      </c>
      <c r="B18" t="s">
        <v>22</v>
      </c>
      <c r="C18" t="s">
        <v>23</v>
      </c>
      <c r="D18" t="s">
        <v>24</v>
      </c>
      <c r="E18" t="s">
        <v>25</v>
      </c>
      <c r="F18">
        <v>3</v>
      </c>
      <c r="G18" t="s">
        <v>72</v>
      </c>
      <c r="H18" s="2">
        <v>28</v>
      </c>
      <c r="I18" t="s">
        <v>27</v>
      </c>
      <c r="J18">
        <v>100</v>
      </c>
      <c r="K18" t="s">
        <v>72</v>
      </c>
      <c r="L18">
        <v>28</v>
      </c>
      <c r="M18" t="s">
        <v>28</v>
      </c>
      <c r="N18" t="s">
        <v>29</v>
      </c>
      <c r="O18" t="s">
        <v>77</v>
      </c>
      <c r="P18" t="s">
        <v>43</v>
      </c>
      <c r="Q18">
        <v>557.91999999999996</v>
      </c>
      <c r="R18">
        <v>31.57</v>
      </c>
      <c r="S18">
        <v>387.89</v>
      </c>
      <c r="T18">
        <v>12.32</v>
      </c>
      <c r="U18">
        <v>38789</v>
      </c>
    </row>
    <row r="19" spans="1:21" x14ac:dyDescent="0.25">
      <c r="A19" t="s">
        <v>80</v>
      </c>
      <c r="B19" t="s">
        <v>22</v>
      </c>
      <c r="C19" t="s">
        <v>23</v>
      </c>
      <c r="D19" t="s">
        <v>24</v>
      </c>
      <c r="E19" t="s">
        <v>25</v>
      </c>
      <c r="F19">
        <v>4</v>
      </c>
      <c r="G19" t="s">
        <v>72</v>
      </c>
      <c r="H19" s="2">
        <v>28</v>
      </c>
      <c r="I19" t="s">
        <v>27</v>
      </c>
      <c r="J19">
        <v>100</v>
      </c>
      <c r="K19" t="s">
        <v>72</v>
      </c>
      <c r="L19">
        <v>28</v>
      </c>
      <c r="M19" t="s">
        <v>28</v>
      </c>
      <c r="N19" t="s">
        <v>29</v>
      </c>
      <c r="O19" t="s">
        <v>77</v>
      </c>
      <c r="P19" t="s">
        <v>31</v>
      </c>
      <c r="Q19">
        <v>646.9</v>
      </c>
      <c r="R19">
        <v>36.619999999999997</v>
      </c>
      <c r="S19">
        <v>449.75</v>
      </c>
      <c r="T19">
        <v>12.16</v>
      </c>
      <c r="U19">
        <v>44975</v>
      </c>
    </row>
    <row r="20" spans="1:21" x14ac:dyDescent="0.25">
      <c r="A20" t="s">
        <v>87</v>
      </c>
      <c r="B20" t="s">
        <v>22</v>
      </c>
      <c r="C20" t="s">
        <v>23</v>
      </c>
      <c r="D20" t="s">
        <v>24</v>
      </c>
      <c r="E20" t="s">
        <v>25</v>
      </c>
      <c r="F20">
        <v>3</v>
      </c>
      <c r="G20" t="s">
        <v>72</v>
      </c>
      <c r="H20" s="2">
        <v>28</v>
      </c>
      <c r="I20" t="s">
        <v>27</v>
      </c>
      <c r="J20">
        <v>100</v>
      </c>
      <c r="K20" t="s">
        <v>72</v>
      </c>
      <c r="L20">
        <v>28</v>
      </c>
      <c r="M20" t="s">
        <v>28</v>
      </c>
      <c r="N20" t="s">
        <v>29</v>
      </c>
      <c r="O20" t="s">
        <v>73</v>
      </c>
      <c r="P20" t="s">
        <v>43</v>
      </c>
      <c r="Q20">
        <v>637.41999999999996</v>
      </c>
      <c r="R20">
        <v>36.08</v>
      </c>
      <c r="S20">
        <v>443.16</v>
      </c>
      <c r="T20">
        <v>12.36</v>
      </c>
      <c r="U20">
        <v>44316</v>
      </c>
    </row>
    <row r="21" spans="1:21" x14ac:dyDescent="0.25">
      <c r="A21" t="s">
        <v>87</v>
      </c>
      <c r="B21" t="s">
        <v>22</v>
      </c>
      <c r="C21" t="s">
        <v>23</v>
      </c>
      <c r="D21" t="s">
        <v>24</v>
      </c>
      <c r="E21" t="s">
        <v>25</v>
      </c>
      <c r="F21">
        <v>4</v>
      </c>
      <c r="G21" t="s">
        <v>72</v>
      </c>
      <c r="H21" s="2">
        <v>28</v>
      </c>
      <c r="I21" t="s">
        <v>27</v>
      </c>
      <c r="J21">
        <v>100</v>
      </c>
      <c r="K21" t="s">
        <v>72</v>
      </c>
      <c r="L21">
        <v>28</v>
      </c>
      <c r="M21" t="s">
        <v>28</v>
      </c>
      <c r="N21" t="s">
        <v>29</v>
      </c>
      <c r="O21" t="s">
        <v>73</v>
      </c>
      <c r="P21" t="s">
        <v>41</v>
      </c>
      <c r="Q21">
        <v>623.47</v>
      </c>
      <c r="R21">
        <v>35.29</v>
      </c>
      <c r="S21">
        <v>433.46</v>
      </c>
      <c r="T21">
        <v>12.4</v>
      </c>
      <c r="U21">
        <v>43346</v>
      </c>
    </row>
    <row r="22" spans="1:21" x14ac:dyDescent="0.25">
      <c r="A22" t="s">
        <v>88</v>
      </c>
      <c r="B22" t="s">
        <v>22</v>
      </c>
      <c r="C22" t="s">
        <v>23</v>
      </c>
      <c r="D22" t="s">
        <v>24</v>
      </c>
      <c r="E22" t="s">
        <v>25</v>
      </c>
      <c r="F22">
        <v>3</v>
      </c>
      <c r="G22" t="s">
        <v>72</v>
      </c>
      <c r="H22" s="2">
        <v>28</v>
      </c>
      <c r="I22" t="s">
        <v>27</v>
      </c>
      <c r="J22">
        <v>100</v>
      </c>
      <c r="K22" t="s">
        <v>72</v>
      </c>
      <c r="L22">
        <v>28</v>
      </c>
      <c r="M22" t="s">
        <v>28</v>
      </c>
      <c r="N22" t="s">
        <v>29</v>
      </c>
      <c r="O22" t="s">
        <v>73</v>
      </c>
      <c r="P22" t="s">
        <v>33</v>
      </c>
      <c r="Q22">
        <v>593.23</v>
      </c>
      <c r="R22">
        <v>33.57</v>
      </c>
      <c r="S22">
        <v>412.44</v>
      </c>
      <c r="T22">
        <v>12.25</v>
      </c>
      <c r="U22">
        <v>41244</v>
      </c>
    </row>
    <row r="23" spans="1:21" x14ac:dyDescent="0.25">
      <c r="A23" t="s">
        <v>88</v>
      </c>
      <c r="B23" t="s">
        <v>22</v>
      </c>
      <c r="C23" t="s">
        <v>23</v>
      </c>
      <c r="D23" t="s">
        <v>24</v>
      </c>
      <c r="E23" t="s">
        <v>25</v>
      </c>
      <c r="F23">
        <v>4</v>
      </c>
      <c r="G23" t="s">
        <v>72</v>
      </c>
      <c r="H23" s="2">
        <v>28</v>
      </c>
      <c r="I23" t="s">
        <v>27</v>
      </c>
      <c r="J23">
        <v>100</v>
      </c>
      <c r="K23" t="s">
        <v>72</v>
      </c>
      <c r="L23">
        <v>28</v>
      </c>
      <c r="M23" t="s">
        <v>28</v>
      </c>
      <c r="N23" t="s">
        <v>29</v>
      </c>
      <c r="O23" t="s">
        <v>73</v>
      </c>
      <c r="P23" t="s">
        <v>33</v>
      </c>
      <c r="Q23">
        <v>579.29</v>
      </c>
      <c r="R23">
        <v>32.78</v>
      </c>
      <c r="S23">
        <v>402.75</v>
      </c>
      <c r="T23">
        <v>12.28</v>
      </c>
      <c r="U23">
        <v>40275</v>
      </c>
    </row>
    <row r="24" spans="1:21" x14ac:dyDescent="0.25">
      <c r="A24" t="s">
        <v>89</v>
      </c>
      <c r="B24" t="s">
        <v>22</v>
      </c>
      <c r="C24" t="s">
        <v>23</v>
      </c>
      <c r="D24" t="s">
        <v>24</v>
      </c>
      <c r="E24" t="s">
        <v>25</v>
      </c>
      <c r="F24">
        <v>3</v>
      </c>
      <c r="G24" t="s">
        <v>90</v>
      </c>
      <c r="H24" s="2">
        <v>28</v>
      </c>
      <c r="I24" t="s">
        <v>27</v>
      </c>
      <c r="J24">
        <v>100</v>
      </c>
      <c r="K24" t="s">
        <v>90</v>
      </c>
      <c r="L24">
        <v>28</v>
      </c>
      <c r="M24" t="s">
        <v>28</v>
      </c>
      <c r="N24" t="s">
        <v>29</v>
      </c>
      <c r="O24" t="s">
        <v>91</v>
      </c>
      <c r="P24" t="s">
        <v>34</v>
      </c>
      <c r="Q24">
        <v>597.86</v>
      </c>
      <c r="R24">
        <v>33.840000000000003</v>
      </c>
      <c r="S24">
        <v>415.66</v>
      </c>
      <c r="T24">
        <v>12.37</v>
      </c>
      <c r="U24">
        <v>41566</v>
      </c>
    </row>
    <row r="25" spans="1:21" x14ac:dyDescent="0.25">
      <c r="A25" t="s">
        <v>89</v>
      </c>
      <c r="B25" t="s">
        <v>22</v>
      </c>
      <c r="C25" t="s">
        <v>23</v>
      </c>
      <c r="D25" t="s">
        <v>24</v>
      </c>
      <c r="E25" t="s">
        <v>25</v>
      </c>
      <c r="F25">
        <v>4</v>
      </c>
      <c r="G25" t="s">
        <v>90</v>
      </c>
      <c r="H25" s="2">
        <v>28</v>
      </c>
      <c r="I25" t="s">
        <v>27</v>
      </c>
      <c r="J25">
        <v>100</v>
      </c>
      <c r="K25" t="s">
        <v>90</v>
      </c>
      <c r="L25">
        <v>28</v>
      </c>
      <c r="M25" t="s">
        <v>28</v>
      </c>
      <c r="N25" t="s">
        <v>29</v>
      </c>
      <c r="O25" t="s">
        <v>91</v>
      </c>
      <c r="P25" t="s">
        <v>41</v>
      </c>
      <c r="Q25">
        <v>608.96</v>
      </c>
      <c r="R25">
        <v>34.47</v>
      </c>
      <c r="S25">
        <v>423.38</v>
      </c>
      <c r="T25">
        <v>12.37</v>
      </c>
      <c r="U25">
        <v>42338</v>
      </c>
    </row>
    <row r="26" spans="1:21" x14ac:dyDescent="0.25">
      <c r="A26" t="s">
        <v>92</v>
      </c>
      <c r="B26" t="s">
        <v>22</v>
      </c>
      <c r="C26" t="s">
        <v>23</v>
      </c>
      <c r="D26" t="s">
        <v>24</v>
      </c>
      <c r="E26" t="s">
        <v>25</v>
      </c>
      <c r="F26">
        <v>3</v>
      </c>
      <c r="G26" t="s">
        <v>90</v>
      </c>
      <c r="H26" s="2">
        <v>28</v>
      </c>
      <c r="I26" t="s">
        <v>27</v>
      </c>
      <c r="J26">
        <v>100</v>
      </c>
      <c r="K26" t="s">
        <v>90</v>
      </c>
      <c r="L26">
        <v>28</v>
      </c>
      <c r="M26" t="s">
        <v>28</v>
      </c>
      <c r="N26" t="s">
        <v>29</v>
      </c>
      <c r="O26" t="s">
        <v>91</v>
      </c>
      <c r="P26" t="s">
        <v>41</v>
      </c>
      <c r="Q26">
        <v>579.14</v>
      </c>
      <c r="R26">
        <v>32.770000000000003</v>
      </c>
      <c r="S26">
        <v>402.64</v>
      </c>
      <c r="T26">
        <v>12.25</v>
      </c>
      <c r="U26">
        <v>40264</v>
      </c>
    </row>
    <row r="27" spans="1:21" x14ac:dyDescent="0.25">
      <c r="A27" t="s">
        <v>92</v>
      </c>
      <c r="B27" t="s">
        <v>22</v>
      </c>
      <c r="C27" t="s">
        <v>23</v>
      </c>
      <c r="D27" t="s">
        <v>24</v>
      </c>
      <c r="E27" t="s">
        <v>25</v>
      </c>
      <c r="F27">
        <v>4</v>
      </c>
      <c r="G27" t="s">
        <v>90</v>
      </c>
      <c r="H27" s="2">
        <v>28</v>
      </c>
      <c r="I27" t="s">
        <v>27</v>
      </c>
      <c r="J27">
        <v>100</v>
      </c>
      <c r="K27" t="s">
        <v>90</v>
      </c>
      <c r="L27">
        <v>28</v>
      </c>
      <c r="M27" t="s">
        <v>28</v>
      </c>
      <c r="N27" t="s">
        <v>29</v>
      </c>
      <c r="O27" t="s">
        <v>91</v>
      </c>
      <c r="P27" t="s">
        <v>33</v>
      </c>
      <c r="Q27">
        <v>561.72</v>
      </c>
      <c r="R27">
        <v>31.79</v>
      </c>
      <c r="S27">
        <v>390.53</v>
      </c>
      <c r="T27">
        <v>12.26</v>
      </c>
      <c r="U27">
        <v>39053</v>
      </c>
    </row>
    <row r="28" spans="1:21" x14ac:dyDescent="0.25">
      <c r="A28" t="s">
        <v>93</v>
      </c>
      <c r="B28" t="s">
        <v>22</v>
      </c>
      <c r="C28" t="s">
        <v>23</v>
      </c>
      <c r="D28" t="s">
        <v>24</v>
      </c>
      <c r="E28" t="s">
        <v>25</v>
      </c>
      <c r="F28">
        <v>3</v>
      </c>
      <c r="G28" t="s">
        <v>90</v>
      </c>
      <c r="H28" s="2">
        <v>28</v>
      </c>
      <c r="I28" t="s">
        <v>27</v>
      </c>
      <c r="J28">
        <v>100</v>
      </c>
      <c r="K28" t="s">
        <v>90</v>
      </c>
      <c r="L28">
        <v>28</v>
      </c>
      <c r="M28" t="s">
        <v>28</v>
      </c>
      <c r="N28" t="s">
        <v>29</v>
      </c>
      <c r="O28" t="s">
        <v>94</v>
      </c>
      <c r="P28" t="s">
        <v>34</v>
      </c>
      <c r="Q28">
        <v>581.65</v>
      </c>
      <c r="R28">
        <v>32.92</v>
      </c>
      <c r="S28">
        <v>404.39</v>
      </c>
      <c r="T28">
        <v>12.42</v>
      </c>
      <c r="U28">
        <v>40439</v>
      </c>
    </row>
    <row r="29" spans="1:21" x14ac:dyDescent="0.25">
      <c r="A29" t="s">
        <v>93</v>
      </c>
      <c r="B29" t="s">
        <v>22</v>
      </c>
      <c r="C29" t="s">
        <v>23</v>
      </c>
      <c r="D29" t="s">
        <v>24</v>
      </c>
      <c r="E29" t="s">
        <v>25</v>
      </c>
      <c r="F29">
        <v>4</v>
      </c>
      <c r="G29" t="s">
        <v>90</v>
      </c>
      <c r="H29" s="2">
        <v>28</v>
      </c>
      <c r="I29" t="s">
        <v>27</v>
      </c>
      <c r="J29">
        <v>100</v>
      </c>
      <c r="K29" t="s">
        <v>90</v>
      </c>
      <c r="L29">
        <v>28</v>
      </c>
      <c r="M29" t="s">
        <v>28</v>
      </c>
      <c r="N29" t="s">
        <v>29</v>
      </c>
      <c r="O29" t="s">
        <v>94</v>
      </c>
      <c r="P29" t="s">
        <v>33</v>
      </c>
      <c r="Q29">
        <v>590.46</v>
      </c>
      <c r="R29">
        <v>33.42</v>
      </c>
      <c r="S29">
        <v>410.51</v>
      </c>
      <c r="T29">
        <v>12.42</v>
      </c>
      <c r="U29">
        <v>41051</v>
      </c>
    </row>
    <row r="30" spans="1:21" x14ac:dyDescent="0.25">
      <c r="A30" t="s">
        <v>95</v>
      </c>
      <c r="B30" t="s">
        <v>22</v>
      </c>
      <c r="C30" t="s">
        <v>23</v>
      </c>
      <c r="D30" t="s">
        <v>24</v>
      </c>
      <c r="E30" t="s">
        <v>25</v>
      </c>
      <c r="F30">
        <v>3</v>
      </c>
      <c r="G30" t="s">
        <v>90</v>
      </c>
      <c r="H30" s="2">
        <v>28</v>
      </c>
      <c r="I30" t="s">
        <v>27</v>
      </c>
      <c r="J30">
        <v>100</v>
      </c>
      <c r="K30" t="s">
        <v>90</v>
      </c>
      <c r="L30">
        <v>28</v>
      </c>
      <c r="M30" t="s">
        <v>28</v>
      </c>
      <c r="N30" t="s">
        <v>29</v>
      </c>
      <c r="O30" t="s">
        <v>94</v>
      </c>
      <c r="P30" t="s">
        <v>43</v>
      </c>
      <c r="Q30">
        <v>560.59</v>
      </c>
      <c r="R30">
        <v>31.72</v>
      </c>
      <c r="S30">
        <v>389.75</v>
      </c>
      <c r="T30">
        <v>12.29</v>
      </c>
      <c r="U30">
        <v>38975</v>
      </c>
    </row>
    <row r="31" spans="1:21" x14ac:dyDescent="0.25">
      <c r="A31" t="s">
        <v>95</v>
      </c>
      <c r="B31" t="s">
        <v>22</v>
      </c>
      <c r="C31" t="s">
        <v>23</v>
      </c>
      <c r="D31" t="s">
        <v>24</v>
      </c>
      <c r="E31" t="s">
        <v>25</v>
      </c>
      <c r="F31">
        <v>4</v>
      </c>
      <c r="G31" t="s">
        <v>90</v>
      </c>
      <c r="H31" s="2">
        <v>28</v>
      </c>
      <c r="I31" t="s">
        <v>27</v>
      </c>
      <c r="J31">
        <v>100</v>
      </c>
      <c r="K31" t="s">
        <v>90</v>
      </c>
      <c r="L31">
        <v>28</v>
      </c>
      <c r="M31" t="s">
        <v>28</v>
      </c>
      <c r="N31" t="s">
        <v>29</v>
      </c>
      <c r="O31" t="s">
        <v>94</v>
      </c>
      <c r="P31" t="s">
        <v>41</v>
      </c>
      <c r="Q31">
        <v>648.63</v>
      </c>
      <c r="R31">
        <v>36.71</v>
      </c>
      <c r="S31">
        <v>450.96</v>
      </c>
      <c r="T31">
        <v>12.12</v>
      </c>
      <c r="U31">
        <v>45096</v>
      </c>
    </row>
    <row r="32" spans="1:21" x14ac:dyDescent="0.25">
      <c r="A32" t="s">
        <v>96</v>
      </c>
      <c r="B32" t="s">
        <v>22</v>
      </c>
      <c r="C32" t="s">
        <v>23</v>
      </c>
      <c r="D32" t="s">
        <v>24</v>
      </c>
      <c r="E32" t="s">
        <v>25</v>
      </c>
      <c r="F32">
        <v>3</v>
      </c>
      <c r="G32" t="s">
        <v>90</v>
      </c>
      <c r="H32" s="2">
        <v>28</v>
      </c>
      <c r="I32" t="s">
        <v>27</v>
      </c>
      <c r="J32">
        <v>100</v>
      </c>
      <c r="K32" t="s">
        <v>90</v>
      </c>
      <c r="L32">
        <v>28</v>
      </c>
      <c r="M32" t="s">
        <v>28</v>
      </c>
      <c r="N32" t="s">
        <v>29</v>
      </c>
      <c r="O32" t="s">
        <v>97</v>
      </c>
      <c r="P32" t="s">
        <v>43</v>
      </c>
      <c r="Q32">
        <v>567.23</v>
      </c>
      <c r="R32">
        <v>32.11</v>
      </c>
      <c r="S32">
        <v>394.36</v>
      </c>
      <c r="T32">
        <v>12.32</v>
      </c>
      <c r="U32">
        <v>39436</v>
      </c>
    </row>
    <row r="33" spans="1:21" x14ac:dyDescent="0.25">
      <c r="A33" t="s">
        <v>96</v>
      </c>
      <c r="B33" t="s">
        <v>22</v>
      </c>
      <c r="C33" t="s">
        <v>23</v>
      </c>
      <c r="D33" t="s">
        <v>24</v>
      </c>
      <c r="E33" t="s">
        <v>25</v>
      </c>
      <c r="F33">
        <v>4</v>
      </c>
      <c r="G33" t="s">
        <v>90</v>
      </c>
      <c r="H33" s="2">
        <v>28</v>
      </c>
      <c r="I33" t="s">
        <v>27</v>
      </c>
      <c r="J33">
        <v>100</v>
      </c>
      <c r="K33" t="s">
        <v>90</v>
      </c>
      <c r="L33">
        <v>28</v>
      </c>
      <c r="M33" t="s">
        <v>28</v>
      </c>
      <c r="N33" t="s">
        <v>29</v>
      </c>
      <c r="O33" t="s">
        <v>97</v>
      </c>
      <c r="P33" t="s">
        <v>41</v>
      </c>
      <c r="Q33">
        <v>581.1</v>
      </c>
      <c r="R33">
        <v>32.89</v>
      </c>
      <c r="S33">
        <v>404.01</v>
      </c>
      <c r="T33">
        <v>12.21</v>
      </c>
      <c r="U33">
        <v>40401</v>
      </c>
    </row>
    <row r="34" spans="1:21" x14ac:dyDescent="0.25">
      <c r="A34" t="s">
        <v>98</v>
      </c>
      <c r="B34" t="s">
        <v>22</v>
      </c>
      <c r="C34" t="s">
        <v>23</v>
      </c>
      <c r="D34" t="s">
        <v>24</v>
      </c>
      <c r="E34" t="s">
        <v>25</v>
      </c>
      <c r="F34">
        <v>3</v>
      </c>
      <c r="G34" t="s">
        <v>90</v>
      </c>
      <c r="H34" s="2">
        <v>28</v>
      </c>
      <c r="I34" t="s">
        <v>27</v>
      </c>
      <c r="J34">
        <v>100</v>
      </c>
      <c r="K34" t="s">
        <v>90</v>
      </c>
      <c r="L34">
        <v>28</v>
      </c>
      <c r="M34" t="s">
        <v>28</v>
      </c>
      <c r="N34" t="s">
        <v>29</v>
      </c>
      <c r="O34" t="s">
        <v>97</v>
      </c>
      <c r="P34" t="s">
        <v>33</v>
      </c>
      <c r="Q34">
        <v>649.22</v>
      </c>
      <c r="R34">
        <v>36.75</v>
      </c>
      <c r="S34">
        <v>451.37</v>
      </c>
      <c r="T34">
        <v>12.36</v>
      </c>
      <c r="U34">
        <v>45137</v>
      </c>
    </row>
    <row r="35" spans="1:21" x14ac:dyDescent="0.25">
      <c r="A35" t="s">
        <v>98</v>
      </c>
      <c r="B35" t="s">
        <v>22</v>
      </c>
      <c r="C35" t="s">
        <v>23</v>
      </c>
      <c r="D35" t="s">
        <v>24</v>
      </c>
      <c r="E35" t="s">
        <v>25</v>
      </c>
      <c r="F35">
        <v>4</v>
      </c>
      <c r="G35" t="s">
        <v>90</v>
      </c>
      <c r="H35" s="2">
        <v>28</v>
      </c>
      <c r="I35" t="s">
        <v>27</v>
      </c>
      <c r="J35">
        <v>100</v>
      </c>
      <c r="K35" t="s">
        <v>90</v>
      </c>
      <c r="L35">
        <v>28</v>
      </c>
      <c r="M35" t="s">
        <v>28</v>
      </c>
      <c r="N35" t="s">
        <v>29</v>
      </c>
      <c r="O35" t="s">
        <v>97</v>
      </c>
      <c r="P35" t="s">
        <v>34</v>
      </c>
      <c r="Q35">
        <v>637.39</v>
      </c>
      <c r="R35">
        <v>36.08</v>
      </c>
      <c r="S35">
        <v>443.14</v>
      </c>
      <c r="T35">
        <v>12.42</v>
      </c>
      <c r="U35">
        <v>44314</v>
      </c>
    </row>
    <row r="36" spans="1:21" x14ac:dyDescent="0.25">
      <c r="A36" t="s">
        <v>107</v>
      </c>
      <c r="B36" t="s">
        <v>22</v>
      </c>
      <c r="C36" t="s">
        <v>23</v>
      </c>
      <c r="D36" t="s">
        <v>24</v>
      </c>
      <c r="E36" t="s">
        <v>25</v>
      </c>
      <c r="F36">
        <v>3</v>
      </c>
      <c r="G36" t="s">
        <v>108</v>
      </c>
      <c r="H36" s="2">
        <v>28</v>
      </c>
      <c r="I36" t="s">
        <v>27</v>
      </c>
      <c r="J36">
        <v>100</v>
      </c>
      <c r="K36" t="s">
        <v>108</v>
      </c>
      <c r="L36">
        <v>28</v>
      </c>
      <c r="M36" t="s">
        <v>28</v>
      </c>
      <c r="N36" t="s">
        <v>29</v>
      </c>
      <c r="O36" t="s">
        <v>109</v>
      </c>
      <c r="P36" t="s">
        <v>33</v>
      </c>
      <c r="Q36">
        <v>566.96</v>
      </c>
      <c r="R36">
        <v>32.090000000000003</v>
      </c>
      <c r="S36">
        <v>394.18</v>
      </c>
      <c r="T36">
        <v>12.19</v>
      </c>
      <c r="U36">
        <v>39418</v>
      </c>
    </row>
    <row r="37" spans="1:21" x14ac:dyDescent="0.25">
      <c r="A37" t="s">
        <v>107</v>
      </c>
      <c r="B37" t="s">
        <v>22</v>
      </c>
      <c r="C37" t="s">
        <v>23</v>
      </c>
      <c r="D37" t="s">
        <v>24</v>
      </c>
      <c r="E37" t="s">
        <v>25</v>
      </c>
      <c r="F37">
        <v>4</v>
      </c>
      <c r="G37" t="s">
        <v>108</v>
      </c>
      <c r="H37" s="2">
        <v>28</v>
      </c>
      <c r="I37" t="s">
        <v>27</v>
      </c>
      <c r="J37">
        <v>100</v>
      </c>
      <c r="K37" t="s">
        <v>108</v>
      </c>
      <c r="L37">
        <v>28</v>
      </c>
      <c r="M37" t="s">
        <v>28</v>
      </c>
      <c r="N37" t="s">
        <v>29</v>
      </c>
      <c r="O37" t="s">
        <v>109</v>
      </c>
      <c r="P37" t="s">
        <v>43</v>
      </c>
      <c r="Q37">
        <v>574.39</v>
      </c>
      <c r="R37">
        <v>32.51</v>
      </c>
      <c r="S37">
        <v>399.34</v>
      </c>
      <c r="T37">
        <v>12.24</v>
      </c>
      <c r="U37">
        <v>39934</v>
      </c>
    </row>
    <row r="38" spans="1:21" x14ac:dyDescent="0.25">
      <c r="A38" t="s">
        <v>110</v>
      </c>
      <c r="B38" t="s">
        <v>22</v>
      </c>
      <c r="C38" t="s">
        <v>23</v>
      </c>
      <c r="D38" t="s">
        <v>24</v>
      </c>
      <c r="E38" t="s">
        <v>25</v>
      </c>
      <c r="F38">
        <v>3</v>
      </c>
      <c r="G38" t="s">
        <v>108</v>
      </c>
      <c r="H38" s="2">
        <v>28</v>
      </c>
      <c r="I38" t="s">
        <v>27</v>
      </c>
      <c r="J38">
        <v>100</v>
      </c>
      <c r="K38" t="s">
        <v>108</v>
      </c>
      <c r="L38">
        <v>28</v>
      </c>
      <c r="M38" t="s">
        <v>28</v>
      </c>
      <c r="N38" t="s">
        <v>29</v>
      </c>
      <c r="O38" t="s">
        <v>109</v>
      </c>
      <c r="P38" t="s">
        <v>33</v>
      </c>
      <c r="Q38">
        <v>633.97</v>
      </c>
      <c r="R38">
        <v>35.880000000000003</v>
      </c>
      <c r="S38">
        <v>440.76</v>
      </c>
      <c r="T38">
        <v>12.47</v>
      </c>
      <c r="U38">
        <v>44076</v>
      </c>
    </row>
    <row r="39" spans="1:21" x14ac:dyDescent="0.25">
      <c r="A39" t="s">
        <v>110</v>
      </c>
      <c r="B39" t="s">
        <v>22</v>
      </c>
      <c r="C39" t="s">
        <v>23</v>
      </c>
      <c r="D39" t="s">
        <v>24</v>
      </c>
      <c r="E39" t="s">
        <v>25</v>
      </c>
      <c r="F39">
        <v>4</v>
      </c>
      <c r="G39" t="s">
        <v>108</v>
      </c>
      <c r="H39" s="2">
        <v>28</v>
      </c>
      <c r="I39" t="s">
        <v>27</v>
      </c>
      <c r="J39">
        <v>100</v>
      </c>
      <c r="K39" t="s">
        <v>108</v>
      </c>
      <c r="L39">
        <v>28</v>
      </c>
      <c r="M39" t="s">
        <v>28</v>
      </c>
      <c r="N39" t="s">
        <v>29</v>
      </c>
      <c r="O39" t="s">
        <v>109</v>
      </c>
      <c r="P39" t="s">
        <v>34</v>
      </c>
      <c r="Q39">
        <v>626.20000000000005</v>
      </c>
      <c r="R39">
        <v>35.44</v>
      </c>
      <c r="S39">
        <v>435.36</v>
      </c>
      <c r="T39">
        <v>12.4</v>
      </c>
      <c r="U39">
        <v>43536</v>
      </c>
    </row>
    <row r="40" spans="1:21" x14ac:dyDescent="0.25">
      <c r="A40" t="s">
        <v>111</v>
      </c>
      <c r="B40" t="s">
        <v>22</v>
      </c>
      <c r="C40" t="s">
        <v>23</v>
      </c>
      <c r="D40" t="s">
        <v>24</v>
      </c>
      <c r="E40" t="s">
        <v>25</v>
      </c>
      <c r="F40">
        <v>3</v>
      </c>
      <c r="G40" t="s">
        <v>108</v>
      </c>
      <c r="H40" s="2">
        <v>28</v>
      </c>
      <c r="I40" t="s">
        <v>27</v>
      </c>
      <c r="J40">
        <v>100</v>
      </c>
      <c r="K40" t="s">
        <v>108</v>
      </c>
      <c r="L40">
        <v>28</v>
      </c>
      <c r="M40" t="s">
        <v>28</v>
      </c>
      <c r="N40" t="s">
        <v>29</v>
      </c>
      <c r="O40" t="s">
        <v>73</v>
      </c>
      <c r="P40" t="s">
        <v>33</v>
      </c>
      <c r="Q40">
        <v>553.05999999999995</v>
      </c>
      <c r="R40">
        <v>31.3</v>
      </c>
      <c r="S40">
        <v>384.51</v>
      </c>
      <c r="T40">
        <v>12.21</v>
      </c>
      <c r="U40">
        <v>38451</v>
      </c>
    </row>
    <row r="41" spans="1:21" x14ac:dyDescent="0.25">
      <c r="A41" t="s">
        <v>111</v>
      </c>
      <c r="B41" t="s">
        <v>22</v>
      </c>
      <c r="C41" t="s">
        <v>23</v>
      </c>
      <c r="D41" t="s">
        <v>24</v>
      </c>
      <c r="E41" t="s">
        <v>25</v>
      </c>
      <c r="F41">
        <v>4</v>
      </c>
      <c r="G41" t="s">
        <v>108</v>
      </c>
      <c r="H41" s="2">
        <v>28</v>
      </c>
      <c r="I41" t="s">
        <v>27</v>
      </c>
      <c r="J41">
        <v>100</v>
      </c>
      <c r="K41" t="s">
        <v>108</v>
      </c>
      <c r="L41">
        <v>28</v>
      </c>
      <c r="M41" t="s">
        <v>28</v>
      </c>
      <c r="N41" t="s">
        <v>29</v>
      </c>
      <c r="O41" t="s">
        <v>73</v>
      </c>
      <c r="P41" t="s">
        <v>41</v>
      </c>
      <c r="Q41">
        <v>561.64</v>
      </c>
      <c r="R41">
        <v>31.79</v>
      </c>
      <c r="S41">
        <v>390.48</v>
      </c>
      <c r="T41">
        <v>12.23</v>
      </c>
      <c r="U41">
        <v>39048</v>
      </c>
    </row>
    <row r="42" spans="1:21" x14ac:dyDescent="0.25">
      <c r="A42" t="s">
        <v>112</v>
      </c>
      <c r="B42" t="s">
        <v>22</v>
      </c>
      <c r="C42" t="s">
        <v>23</v>
      </c>
      <c r="D42" t="s">
        <v>24</v>
      </c>
      <c r="E42" t="s">
        <v>25</v>
      </c>
      <c r="F42">
        <v>3</v>
      </c>
      <c r="G42" t="s">
        <v>108</v>
      </c>
      <c r="H42" s="2">
        <v>28</v>
      </c>
      <c r="I42" t="s">
        <v>27</v>
      </c>
      <c r="J42">
        <v>100</v>
      </c>
      <c r="K42" t="s">
        <v>108</v>
      </c>
      <c r="L42">
        <v>28</v>
      </c>
      <c r="M42" t="s">
        <v>28</v>
      </c>
      <c r="N42" t="s">
        <v>29</v>
      </c>
      <c r="O42" t="s">
        <v>73</v>
      </c>
      <c r="P42" t="s">
        <v>41</v>
      </c>
      <c r="Q42">
        <v>630.64</v>
      </c>
      <c r="R42">
        <v>35.69</v>
      </c>
      <c r="S42">
        <v>438.45</v>
      </c>
      <c r="T42">
        <v>12.27</v>
      </c>
      <c r="U42">
        <v>43845</v>
      </c>
    </row>
    <row r="43" spans="1:21" x14ac:dyDescent="0.25">
      <c r="A43" t="s">
        <v>112</v>
      </c>
      <c r="B43" t="s">
        <v>22</v>
      </c>
      <c r="C43" t="s">
        <v>23</v>
      </c>
      <c r="D43" t="s">
        <v>24</v>
      </c>
      <c r="E43" t="s">
        <v>25</v>
      </c>
      <c r="F43">
        <v>4</v>
      </c>
      <c r="G43" t="s">
        <v>108</v>
      </c>
      <c r="H43" s="2">
        <v>28</v>
      </c>
      <c r="I43" t="s">
        <v>27</v>
      </c>
      <c r="J43">
        <v>100</v>
      </c>
      <c r="K43" t="s">
        <v>108</v>
      </c>
      <c r="L43">
        <v>28</v>
      </c>
      <c r="M43" t="s">
        <v>28</v>
      </c>
      <c r="N43" t="s">
        <v>29</v>
      </c>
      <c r="O43" t="s">
        <v>73</v>
      </c>
      <c r="P43" t="s">
        <v>34</v>
      </c>
      <c r="Q43">
        <v>621.30999999999995</v>
      </c>
      <c r="R43">
        <v>35.17</v>
      </c>
      <c r="S43">
        <v>431.96</v>
      </c>
      <c r="T43">
        <v>12.13</v>
      </c>
      <c r="U43">
        <v>43196</v>
      </c>
    </row>
    <row r="44" spans="1:21" x14ac:dyDescent="0.25">
      <c r="A44" t="s">
        <v>121</v>
      </c>
      <c r="B44" t="s">
        <v>22</v>
      </c>
      <c r="C44" t="s">
        <v>23</v>
      </c>
      <c r="D44" t="s">
        <v>24</v>
      </c>
      <c r="E44" t="s">
        <v>25</v>
      </c>
      <c r="F44">
        <v>3</v>
      </c>
      <c r="G44" t="s">
        <v>122</v>
      </c>
      <c r="H44" s="2">
        <v>28</v>
      </c>
      <c r="I44" t="s">
        <v>27</v>
      </c>
      <c r="J44">
        <v>100</v>
      </c>
      <c r="K44" t="s">
        <v>122</v>
      </c>
      <c r="L44">
        <v>28</v>
      </c>
      <c r="M44" t="s">
        <v>28</v>
      </c>
      <c r="N44" t="s">
        <v>29</v>
      </c>
      <c r="O44" t="s">
        <v>123</v>
      </c>
      <c r="P44" t="s">
        <v>33</v>
      </c>
      <c r="Q44">
        <v>587.58000000000004</v>
      </c>
      <c r="R44">
        <v>33.26</v>
      </c>
      <c r="S44">
        <v>408.51</v>
      </c>
      <c r="T44">
        <v>12.26</v>
      </c>
      <c r="U44">
        <v>40851</v>
      </c>
    </row>
    <row r="45" spans="1:21" x14ac:dyDescent="0.25">
      <c r="A45" t="s">
        <v>121</v>
      </c>
      <c r="B45" t="s">
        <v>22</v>
      </c>
      <c r="C45" t="s">
        <v>23</v>
      </c>
      <c r="D45" t="s">
        <v>24</v>
      </c>
      <c r="E45" t="s">
        <v>25</v>
      </c>
      <c r="F45">
        <v>4</v>
      </c>
      <c r="G45" t="s">
        <v>122</v>
      </c>
      <c r="H45" s="2">
        <v>28</v>
      </c>
      <c r="I45" t="s">
        <v>27</v>
      </c>
      <c r="J45">
        <v>100</v>
      </c>
      <c r="K45" t="s">
        <v>122</v>
      </c>
      <c r="L45">
        <v>28</v>
      </c>
      <c r="M45" t="s">
        <v>28</v>
      </c>
      <c r="N45" t="s">
        <v>29</v>
      </c>
      <c r="O45" t="s">
        <v>123</v>
      </c>
      <c r="P45" t="s">
        <v>34</v>
      </c>
      <c r="Q45">
        <v>600.65</v>
      </c>
      <c r="R45">
        <v>34</v>
      </c>
      <c r="S45">
        <v>417.6</v>
      </c>
      <c r="T45">
        <v>12.46</v>
      </c>
      <c r="U45">
        <v>41760</v>
      </c>
    </row>
    <row r="46" spans="1:21" x14ac:dyDescent="0.25">
      <c r="A46" t="s">
        <v>124</v>
      </c>
      <c r="B46" t="s">
        <v>22</v>
      </c>
      <c r="C46" t="s">
        <v>23</v>
      </c>
      <c r="D46" t="s">
        <v>24</v>
      </c>
      <c r="E46" t="s">
        <v>25</v>
      </c>
      <c r="F46">
        <v>3</v>
      </c>
      <c r="G46" t="s">
        <v>122</v>
      </c>
      <c r="H46" s="2">
        <v>28</v>
      </c>
      <c r="I46" t="s">
        <v>27</v>
      </c>
      <c r="J46">
        <v>100</v>
      </c>
      <c r="K46" t="s">
        <v>122</v>
      </c>
      <c r="L46">
        <v>28</v>
      </c>
      <c r="M46" t="s">
        <v>28</v>
      </c>
      <c r="N46" t="s">
        <v>29</v>
      </c>
      <c r="O46" t="s">
        <v>123</v>
      </c>
      <c r="P46" t="s">
        <v>34</v>
      </c>
      <c r="Q46">
        <v>569.05999999999995</v>
      </c>
      <c r="R46">
        <v>32.200000000000003</v>
      </c>
      <c r="S46">
        <v>395.64</v>
      </c>
      <c r="T46">
        <v>12.27</v>
      </c>
      <c r="U46">
        <v>39564</v>
      </c>
    </row>
    <row r="47" spans="1:21" x14ac:dyDescent="0.25">
      <c r="A47" t="s">
        <v>124</v>
      </c>
      <c r="B47" t="s">
        <v>22</v>
      </c>
      <c r="C47" t="s">
        <v>23</v>
      </c>
      <c r="D47" t="s">
        <v>24</v>
      </c>
      <c r="E47" t="s">
        <v>25</v>
      </c>
      <c r="F47">
        <v>4</v>
      </c>
      <c r="G47" t="s">
        <v>122</v>
      </c>
      <c r="H47" s="2">
        <v>28</v>
      </c>
      <c r="I47" t="s">
        <v>27</v>
      </c>
      <c r="J47">
        <v>100</v>
      </c>
      <c r="K47" t="s">
        <v>122</v>
      </c>
      <c r="L47">
        <v>28</v>
      </c>
      <c r="M47" t="s">
        <v>28</v>
      </c>
      <c r="N47" t="s">
        <v>29</v>
      </c>
      <c r="O47" t="s">
        <v>123</v>
      </c>
      <c r="P47" t="s">
        <v>31</v>
      </c>
      <c r="Q47">
        <v>560.98</v>
      </c>
      <c r="R47">
        <v>31.75</v>
      </c>
      <c r="S47">
        <v>390.02</v>
      </c>
      <c r="T47">
        <v>12.3</v>
      </c>
      <c r="U47">
        <v>39002</v>
      </c>
    </row>
    <row r="48" spans="1:21" x14ac:dyDescent="0.25">
      <c r="A48" t="s">
        <v>135</v>
      </c>
      <c r="B48" t="s">
        <v>22</v>
      </c>
      <c r="C48" t="s">
        <v>23</v>
      </c>
      <c r="D48" t="s">
        <v>24</v>
      </c>
      <c r="E48" t="s">
        <v>25</v>
      </c>
      <c r="F48">
        <v>3</v>
      </c>
      <c r="G48" t="s">
        <v>136</v>
      </c>
      <c r="H48" s="2">
        <v>28</v>
      </c>
      <c r="I48" t="s">
        <v>27</v>
      </c>
      <c r="J48">
        <v>100</v>
      </c>
      <c r="K48" t="s">
        <v>136</v>
      </c>
      <c r="L48">
        <v>28</v>
      </c>
      <c r="M48" t="s">
        <v>28</v>
      </c>
      <c r="N48" t="s">
        <v>29</v>
      </c>
      <c r="O48" t="s">
        <v>97</v>
      </c>
      <c r="P48" t="s">
        <v>33</v>
      </c>
      <c r="Q48">
        <v>562.22</v>
      </c>
      <c r="R48">
        <v>31.82</v>
      </c>
      <c r="S48">
        <v>390.88</v>
      </c>
      <c r="T48">
        <v>12.16</v>
      </c>
      <c r="U48">
        <v>39088</v>
      </c>
    </row>
    <row r="49" spans="1:21" x14ac:dyDescent="0.25">
      <c r="A49" t="s">
        <v>135</v>
      </c>
      <c r="B49" t="s">
        <v>22</v>
      </c>
      <c r="C49" t="s">
        <v>23</v>
      </c>
      <c r="D49" t="s">
        <v>24</v>
      </c>
      <c r="E49" t="s">
        <v>25</v>
      </c>
      <c r="F49">
        <v>4</v>
      </c>
      <c r="G49" t="s">
        <v>136</v>
      </c>
      <c r="H49" s="2">
        <v>28</v>
      </c>
      <c r="I49" t="s">
        <v>27</v>
      </c>
      <c r="J49">
        <v>100</v>
      </c>
      <c r="K49" t="s">
        <v>136</v>
      </c>
      <c r="L49">
        <v>28</v>
      </c>
      <c r="M49" t="s">
        <v>28</v>
      </c>
      <c r="N49" t="s">
        <v>29</v>
      </c>
      <c r="O49" t="s">
        <v>97</v>
      </c>
      <c r="P49" t="s">
        <v>31</v>
      </c>
      <c r="Q49">
        <v>572.05999999999995</v>
      </c>
      <c r="R49">
        <v>32.380000000000003</v>
      </c>
      <c r="S49">
        <v>397.72</v>
      </c>
      <c r="T49">
        <v>12.39</v>
      </c>
      <c r="U49">
        <v>39772</v>
      </c>
    </row>
    <row r="50" spans="1:21" x14ac:dyDescent="0.25">
      <c r="A50" t="s">
        <v>137</v>
      </c>
      <c r="B50" t="s">
        <v>22</v>
      </c>
      <c r="C50" t="s">
        <v>23</v>
      </c>
      <c r="D50" t="s">
        <v>24</v>
      </c>
      <c r="E50" t="s">
        <v>25</v>
      </c>
      <c r="F50">
        <v>3</v>
      </c>
      <c r="G50" t="s">
        <v>136</v>
      </c>
      <c r="H50" s="2">
        <v>28</v>
      </c>
      <c r="I50" t="s">
        <v>27</v>
      </c>
      <c r="J50">
        <v>100</v>
      </c>
      <c r="K50" t="s">
        <v>136</v>
      </c>
      <c r="L50">
        <v>28</v>
      </c>
      <c r="M50" t="s">
        <v>28</v>
      </c>
      <c r="N50" t="s">
        <v>29</v>
      </c>
      <c r="O50" t="s">
        <v>97</v>
      </c>
      <c r="P50" t="s">
        <v>41</v>
      </c>
      <c r="Q50">
        <v>638.26</v>
      </c>
      <c r="R50">
        <v>36.130000000000003</v>
      </c>
      <c r="S50">
        <v>443.75</v>
      </c>
      <c r="T50">
        <v>12.28</v>
      </c>
      <c r="U50">
        <v>44375</v>
      </c>
    </row>
    <row r="51" spans="1:21" x14ac:dyDescent="0.25">
      <c r="A51" t="s">
        <v>137</v>
      </c>
      <c r="B51" t="s">
        <v>22</v>
      </c>
      <c r="C51" t="s">
        <v>23</v>
      </c>
      <c r="D51" t="s">
        <v>24</v>
      </c>
      <c r="E51" t="s">
        <v>25</v>
      </c>
      <c r="F51">
        <v>4</v>
      </c>
      <c r="G51" t="s">
        <v>136</v>
      </c>
      <c r="H51" s="2">
        <v>28</v>
      </c>
      <c r="I51" t="s">
        <v>27</v>
      </c>
      <c r="J51">
        <v>100</v>
      </c>
      <c r="K51" t="s">
        <v>136</v>
      </c>
      <c r="L51">
        <v>28</v>
      </c>
      <c r="M51" t="s">
        <v>28</v>
      </c>
      <c r="N51" t="s">
        <v>29</v>
      </c>
      <c r="O51" t="s">
        <v>97</v>
      </c>
      <c r="P51" t="s">
        <v>31</v>
      </c>
      <c r="Q51">
        <v>630.74</v>
      </c>
      <c r="R51">
        <v>35.700000000000003</v>
      </c>
      <c r="S51">
        <v>438.52</v>
      </c>
      <c r="T51">
        <v>12.41</v>
      </c>
      <c r="U51">
        <v>43852</v>
      </c>
    </row>
    <row r="52" spans="1:21" x14ac:dyDescent="0.25">
      <c r="A52" t="s">
        <v>138</v>
      </c>
      <c r="B52" t="s">
        <v>22</v>
      </c>
      <c r="C52" t="s">
        <v>23</v>
      </c>
      <c r="D52" t="s">
        <v>24</v>
      </c>
      <c r="E52" t="s">
        <v>25</v>
      </c>
      <c r="F52">
        <v>3</v>
      </c>
      <c r="G52" t="s">
        <v>136</v>
      </c>
      <c r="H52" s="2">
        <v>28</v>
      </c>
      <c r="I52" t="s">
        <v>27</v>
      </c>
      <c r="J52">
        <v>100</v>
      </c>
      <c r="K52" t="s">
        <v>136</v>
      </c>
      <c r="L52">
        <v>28</v>
      </c>
      <c r="M52" t="s">
        <v>28</v>
      </c>
      <c r="N52" t="s">
        <v>29</v>
      </c>
      <c r="O52" t="s">
        <v>97</v>
      </c>
      <c r="P52" t="s">
        <v>41</v>
      </c>
      <c r="Q52">
        <v>558.32000000000005</v>
      </c>
      <c r="R52">
        <v>31.6</v>
      </c>
      <c r="S52">
        <v>388.17</v>
      </c>
      <c r="T52">
        <v>12.43</v>
      </c>
      <c r="U52">
        <v>38817</v>
      </c>
    </row>
    <row r="53" spans="1:21" x14ac:dyDescent="0.25">
      <c r="A53" t="s">
        <v>138</v>
      </c>
      <c r="B53" t="s">
        <v>22</v>
      </c>
      <c r="C53" t="s">
        <v>23</v>
      </c>
      <c r="D53" t="s">
        <v>24</v>
      </c>
      <c r="E53" t="s">
        <v>25</v>
      </c>
      <c r="F53">
        <v>4</v>
      </c>
      <c r="G53" t="s">
        <v>136</v>
      </c>
      <c r="H53" s="2">
        <v>28</v>
      </c>
      <c r="I53" t="s">
        <v>27</v>
      </c>
      <c r="J53">
        <v>100</v>
      </c>
      <c r="K53" t="s">
        <v>136</v>
      </c>
      <c r="L53">
        <v>28</v>
      </c>
      <c r="M53" t="s">
        <v>28</v>
      </c>
      <c r="N53" t="s">
        <v>29</v>
      </c>
      <c r="O53" t="s">
        <v>97</v>
      </c>
      <c r="P53" t="s">
        <v>34</v>
      </c>
      <c r="Q53">
        <v>565.72</v>
      </c>
      <c r="R53">
        <v>32.020000000000003</v>
      </c>
      <c r="S53">
        <v>393.31</v>
      </c>
      <c r="T53">
        <v>12.24</v>
      </c>
      <c r="U53">
        <v>39331</v>
      </c>
    </row>
    <row r="54" spans="1:21" x14ac:dyDescent="0.25">
      <c r="A54" t="s">
        <v>139</v>
      </c>
      <c r="B54" t="s">
        <v>22</v>
      </c>
      <c r="C54" t="s">
        <v>23</v>
      </c>
      <c r="D54" t="s">
        <v>24</v>
      </c>
      <c r="E54" t="s">
        <v>25</v>
      </c>
      <c r="F54">
        <v>3</v>
      </c>
      <c r="G54" t="s">
        <v>136</v>
      </c>
      <c r="H54" s="2">
        <v>28</v>
      </c>
      <c r="I54" t="s">
        <v>27</v>
      </c>
      <c r="J54">
        <v>100</v>
      </c>
      <c r="K54" t="s">
        <v>136</v>
      </c>
      <c r="L54">
        <v>28</v>
      </c>
      <c r="M54" t="s">
        <v>28</v>
      </c>
      <c r="N54" t="s">
        <v>29</v>
      </c>
      <c r="O54" t="s">
        <v>97</v>
      </c>
      <c r="P54" t="s">
        <v>33</v>
      </c>
      <c r="Q54">
        <v>634.04999999999995</v>
      </c>
      <c r="R54">
        <v>35.89</v>
      </c>
      <c r="S54">
        <v>440.82</v>
      </c>
      <c r="T54">
        <v>12.2</v>
      </c>
      <c r="U54">
        <v>44082</v>
      </c>
    </row>
    <row r="55" spans="1:21" x14ac:dyDescent="0.25">
      <c r="A55" t="s">
        <v>139</v>
      </c>
      <c r="B55" t="s">
        <v>22</v>
      </c>
      <c r="C55" t="s">
        <v>23</v>
      </c>
      <c r="D55" t="s">
        <v>24</v>
      </c>
      <c r="E55" t="s">
        <v>25</v>
      </c>
      <c r="F55">
        <v>4</v>
      </c>
      <c r="G55" t="s">
        <v>136</v>
      </c>
      <c r="H55" s="2">
        <v>28</v>
      </c>
      <c r="I55" t="s">
        <v>27</v>
      </c>
      <c r="J55">
        <v>100</v>
      </c>
      <c r="K55" t="s">
        <v>136</v>
      </c>
      <c r="L55">
        <v>28</v>
      </c>
      <c r="M55" t="s">
        <v>28</v>
      </c>
      <c r="N55" t="s">
        <v>29</v>
      </c>
      <c r="O55" t="s">
        <v>97</v>
      </c>
      <c r="P55" t="s">
        <v>34</v>
      </c>
      <c r="Q55">
        <v>623.97</v>
      </c>
      <c r="R55">
        <v>35.32</v>
      </c>
      <c r="S55">
        <v>433.81</v>
      </c>
      <c r="T55">
        <v>12.27</v>
      </c>
      <c r="U55">
        <v>43381</v>
      </c>
    </row>
    <row r="56" spans="1:21" x14ac:dyDescent="0.25">
      <c r="A56" t="s">
        <v>147</v>
      </c>
      <c r="B56" t="s">
        <v>22</v>
      </c>
      <c r="C56" t="s">
        <v>23</v>
      </c>
      <c r="D56" t="s">
        <v>24</v>
      </c>
      <c r="E56" t="s">
        <v>25</v>
      </c>
      <c r="F56">
        <v>3</v>
      </c>
      <c r="G56" t="s">
        <v>136</v>
      </c>
      <c r="H56" s="2">
        <v>28</v>
      </c>
      <c r="I56" t="s">
        <v>27</v>
      </c>
      <c r="J56">
        <v>100</v>
      </c>
      <c r="K56" t="s">
        <v>136</v>
      </c>
      <c r="L56">
        <v>28</v>
      </c>
      <c r="M56" t="s">
        <v>28</v>
      </c>
      <c r="N56" t="s">
        <v>29</v>
      </c>
      <c r="O56" t="s">
        <v>73</v>
      </c>
      <c r="P56" t="s">
        <v>33</v>
      </c>
      <c r="Q56">
        <v>655.55</v>
      </c>
      <c r="R56">
        <v>37.1</v>
      </c>
      <c r="S56">
        <v>455.77</v>
      </c>
      <c r="T56">
        <v>12.16</v>
      </c>
      <c r="U56">
        <v>45577</v>
      </c>
    </row>
    <row r="57" spans="1:21" x14ac:dyDescent="0.25">
      <c r="A57" t="s">
        <v>147</v>
      </c>
      <c r="B57" t="s">
        <v>22</v>
      </c>
      <c r="C57" t="s">
        <v>23</v>
      </c>
      <c r="D57" t="s">
        <v>24</v>
      </c>
      <c r="E57" t="s">
        <v>25</v>
      </c>
      <c r="F57">
        <v>4</v>
      </c>
      <c r="G57" t="s">
        <v>136</v>
      </c>
      <c r="H57" s="2">
        <v>28</v>
      </c>
      <c r="I57" t="s">
        <v>27</v>
      </c>
      <c r="J57">
        <v>100</v>
      </c>
      <c r="K57" t="s">
        <v>136</v>
      </c>
      <c r="L57">
        <v>28</v>
      </c>
      <c r="M57" t="s">
        <v>28</v>
      </c>
      <c r="N57" t="s">
        <v>29</v>
      </c>
      <c r="O57" t="s">
        <v>73</v>
      </c>
      <c r="P57" t="s">
        <v>34</v>
      </c>
      <c r="Q57">
        <v>638.80999999999995</v>
      </c>
      <c r="R57">
        <v>36.159999999999997</v>
      </c>
      <c r="S57">
        <v>444.13</v>
      </c>
      <c r="T57">
        <v>12.11</v>
      </c>
      <c r="U57">
        <v>44413</v>
      </c>
    </row>
    <row r="58" spans="1:21" x14ac:dyDescent="0.25">
      <c r="A58" t="s">
        <v>148</v>
      </c>
      <c r="B58" t="s">
        <v>22</v>
      </c>
      <c r="C58" t="s">
        <v>23</v>
      </c>
      <c r="D58" t="s">
        <v>24</v>
      </c>
      <c r="E58" t="s">
        <v>25</v>
      </c>
      <c r="F58">
        <v>3</v>
      </c>
      <c r="G58" t="s">
        <v>136</v>
      </c>
      <c r="H58" s="2">
        <v>28</v>
      </c>
      <c r="I58" t="s">
        <v>27</v>
      </c>
      <c r="J58">
        <v>100</v>
      </c>
      <c r="K58" t="s">
        <v>136</v>
      </c>
      <c r="L58">
        <v>28</v>
      </c>
      <c r="M58" t="s">
        <v>28</v>
      </c>
      <c r="N58" t="s">
        <v>29</v>
      </c>
      <c r="O58" t="s">
        <v>73</v>
      </c>
      <c r="P58" t="s">
        <v>41</v>
      </c>
      <c r="Q58">
        <v>565.04</v>
      </c>
      <c r="R58">
        <v>31.98</v>
      </c>
      <c r="S58">
        <v>392.84</v>
      </c>
      <c r="T58">
        <v>12.33</v>
      </c>
      <c r="U58">
        <v>39284</v>
      </c>
    </row>
    <row r="59" spans="1:21" x14ac:dyDescent="0.25">
      <c r="A59" t="s">
        <v>148</v>
      </c>
      <c r="B59" t="s">
        <v>22</v>
      </c>
      <c r="C59" t="s">
        <v>23</v>
      </c>
      <c r="D59" t="s">
        <v>24</v>
      </c>
      <c r="E59" t="s">
        <v>25</v>
      </c>
      <c r="F59">
        <v>4</v>
      </c>
      <c r="G59" t="s">
        <v>136</v>
      </c>
      <c r="H59" s="2">
        <v>28</v>
      </c>
      <c r="I59" t="s">
        <v>27</v>
      </c>
      <c r="J59">
        <v>100</v>
      </c>
      <c r="K59" t="s">
        <v>136</v>
      </c>
      <c r="L59">
        <v>28</v>
      </c>
      <c r="M59" t="s">
        <v>28</v>
      </c>
      <c r="N59" t="s">
        <v>29</v>
      </c>
      <c r="O59" t="s">
        <v>73</v>
      </c>
      <c r="P59" t="s">
        <v>33</v>
      </c>
      <c r="Q59">
        <v>572.15</v>
      </c>
      <c r="R59">
        <v>32.380000000000003</v>
      </c>
      <c r="S59">
        <v>397.78</v>
      </c>
      <c r="T59">
        <v>12.12</v>
      </c>
      <c r="U59">
        <v>39778</v>
      </c>
    </row>
    <row r="60" spans="1:21" x14ac:dyDescent="0.25">
      <c r="A60" t="s">
        <v>149</v>
      </c>
      <c r="B60" t="s">
        <v>22</v>
      </c>
      <c r="C60" t="s">
        <v>23</v>
      </c>
      <c r="D60" t="s">
        <v>24</v>
      </c>
      <c r="E60" t="s">
        <v>25</v>
      </c>
      <c r="F60">
        <v>3</v>
      </c>
      <c r="G60" t="s">
        <v>136</v>
      </c>
      <c r="H60" s="2">
        <v>28</v>
      </c>
      <c r="I60" t="s">
        <v>27</v>
      </c>
      <c r="J60">
        <v>100</v>
      </c>
      <c r="K60" t="s">
        <v>136</v>
      </c>
      <c r="L60">
        <v>28</v>
      </c>
      <c r="M60" t="s">
        <v>28</v>
      </c>
      <c r="N60" t="s">
        <v>29</v>
      </c>
      <c r="O60" t="s">
        <v>73</v>
      </c>
      <c r="P60" t="s">
        <v>41</v>
      </c>
      <c r="Q60">
        <v>635.39</v>
      </c>
      <c r="R60">
        <v>35.96</v>
      </c>
      <c r="S60">
        <v>441.75</v>
      </c>
      <c r="T60">
        <v>12.31</v>
      </c>
      <c r="U60">
        <v>44175</v>
      </c>
    </row>
    <row r="61" spans="1:21" x14ac:dyDescent="0.25">
      <c r="A61" t="s">
        <v>149</v>
      </c>
      <c r="B61" t="s">
        <v>22</v>
      </c>
      <c r="C61" t="s">
        <v>23</v>
      </c>
      <c r="D61" t="s">
        <v>24</v>
      </c>
      <c r="E61" t="s">
        <v>25</v>
      </c>
      <c r="F61">
        <v>4</v>
      </c>
      <c r="G61" t="s">
        <v>136</v>
      </c>
      <c r="H61" s="2">
        <v>28</v>
      </c>
      <c r="I61" t="s">
        <v>27</v>
      </c>
      <c r="J61">
        <v>100</v>
      </c>
      <c r="K61" t="s">
        <v>136</v>
      </c>
      <c r="L61">
        <v>28</v>
      </c>
      <c r="M61" t="s">
        <v>28</v>
      </c>
      <c r="N61" t="s">
        <v>29</v>
      </c>
      <c r="O61" t="s">
        <v>73</v>
      </c>
      <c r="P61" t="s">
        <v>43</v>
      </c>
      <c r="Q61">
        <v>618.02</v>
      </c>
      <c r="R61">
        <v>34.979999999999997</v>
      </c>
      <c r="S61">
        <v>429.67</v>
      </c>
      <c r="T61">
        <v>12.28</v>
      </c>
      <c r="U61">
        <v>42967</v>
      </c>
    </row>
    <row r="62" spans="1:21" x14ac:dyDescent="0.25">
      <c r="A62" t="s">
        <v>150</v>
      </c>
      <c r="B62" t="s">
        <v>22</v>
      </c>
      <c r="C62" t="s">
        <v>23</v>
      </c>
      <c r="D62" t="s">
        <v>24</v>
      </c>
      <c r="E62" t="s">
        <v>25</v>
      </c>
      <c r="F62">
        <v>3</v>
      </c>
      <c r="G62" t="s">
        <v>136</v>
      </c>
      <c r="H62" s="2">
        <v>28</v>
      </c>
      <c r="I62" t="s">
        <v>27</v>
      </c>
      <c r="J62">
        <v>100</v>
      </c>
      <c r="K62" t="s">
        <v>136</v>
      </c>
      <c r="L62">
        <v>28</v>
      </c>
      <c r="M62" t="s">
        <v>28</v>
      </c>
      <c r="N62" t="s">
        <v>29</v>
      </c>
      <c r="O62" t="s">
        <v>73</v>
      </c>
      <c r="P62" t="s">
        <v>43</v>
      </c>
      <c r="Q62">
        <v>580.25</v>
      </c>
      <c r="R62">
        <v>32.840000000000003</v>
      </c>
      <c r="S62">
        <v>403.42</v>
      </c>
      <c r="T62">
        <v>12.37</v>
      </c>
      <c r="U62">
        <v>40342</v>
      </c>
    </row>
    <row r="63" spans="1:21" x14ac:dyDescent="0.25">
      <c r="A63" t="s">
        <v>150</v>
      </c>
      <c r="B63" t="s">
        <v>22</v>
      </c>
      <c r="C63" t="s">
        <v>23</v>
      </c>
      <c r="D63" t="s">
        <v>24</v>
      </c>
      <c r="E63" t="s">
        <v>25</v>
      </c>
      <c r="F63">
        <v>4</v>
      </c>
      <c r="G63" t="s">
        <v>136</v>
      </c>
      <c r="H63" s="2">
        <v>28</v>
      </c>
      <c r="I63" t="s">
        <v>27</v>
      </c>
      <c r="J63">
        <v>100</v>
      </c>
      <c r="K63" t="s">
        <v>136</v>
      </c>
      <c r="L63">
        <v>28</v>
      </c>
      <c r="M63" t="s">
        <v>28</v>
      </c>
      <c r="N63" t="s">
        <v>29</v>
      </c>
      <c r="O63" t="s">
        <v>73</v>
      </c>
      <c r="P63" t="s">
        <v>31</v>
      </c>
      <c r="Q63">
        <v>563.21</v>
      </c>
      <c r="R63">
        <v>31.87</v>
      </c>
      <c r="S63">
        <v>391.57</v>
      </c>
      <c r="T63">
        <v>12.49</v>
      </c>
      <c r="U63">
        <v>39157</v>
      </c>
    </row>
    <row r="64" spans="1:21" x14ac:dyDescent="0.25">
      <c r="A64" t="s">
        <v>151</v>
      </c>
      <c r="B64" t="s">
        <v>22</v>
      </c>
      <c r="C64" t="s">
        <v>23</v>
      </c>
      <c r="D64" t="s">
        <v>24</v>
      </c>
      <c r="E64" t="s">
        <v>25</v>
      </c>
      <c r="F64">
        <v>3</v>
      </c>
      <c r="G64" t="s">
        <v>136</v>
      </c>
      <c r="H64" s="2">
        <v>28</v>
      </c>
      <c r="I64" t="s">
        <v>27</v>
      </c>
      <c r="J64">
        <v>100</v>
      </c>
      <c r="K64" t="s">
        <v>136</v>
      </c>
      <c r="L64">
        <v>28</v>
      </c>
      <c r="M64" t="s">
        <v>28</v>
      </c>
      <c r="N64" t="s">
        <v>29</v>
      </c>
      <c r="O64" t="s">
        <v>73</v>
      </c>
      <c r="P64" t="s">
        <v>41</v>
      </c>
      <c r="Q64">
        <v>583.12</v>
      </c>
      <c r="R64">
        <v>33.01</v>
      </c>
      <c r="S64">
        <v>405.41</v>
      </c>
      <c r="T64">
        <v>12.35</v>
      </c>
      <c r="U64">
        <v>40541</v>
      </c>
    </row>
    <row r="65" spans="1:21" x14ac:dyDescent="0.25">
      <c r="A65" t="s">
        <v>151</v>
      </c>
      <c r="B65" t="s">
        <v>22</v>
      </c>
      <c r="C65" t="s">
        <v>23</v>
      </c>
      <c r="D65" t="s">
        <v>24</v>
      </c>
      <c r="E65" t="s">
        <v>25</v>
      </c>
      <c r="F65">
        <v>4</v>
      </c>
      <c r="G65" t="s">
        <v>136</v>
      </c>
      <c r="H65" s="2">
        <v>28</v>
      </c>
      <c r="I65" t="s">
        <v>27</v>
      </c>
      <c r="J65">
        <v>100</v>
      </c>
      <c r="K65" t="s">
        <v>136</v>
      </c>
      <c r="L65">
        <v>28</v>
      </c>
      <c r="M65" t="s">
        <v>28</v>
      </c>
      <c r="N65" t="s">
        <v>29</v>
      </c>
      <c r="O65" t="s">
        <v>73</v>
      </c>
      <c r="P65" t="s">
        <v>31</v>
      </c>
      <c r="Q65">
        <v>590.66999999999996</v>
      </c>
      <c r="R65">
        <v>33.43</v>
      </c>
      <c r="S65">
        <v>410.66</v>
      </c>
      <c r="T65">
        <v>12.4</v>
      </c>
      <c r="U65">
        <v>41066</v>
      </c>
    </row>
    <row r="66" spans="1:21" x14ac:dyDescent="0.25">
      <c r="A66" t="s">
        <v>152</v>
      </c>
      <c r="B66" t="s">
        <v>22</v>
      </c>
      <c r="C66" t="s">
        <v>23</v>
      </c>
      <c r="D66" t="s">
        <v>24</v>
      </c>
      <c r="E66" t="s">
        <v>25</v>
      </c>
      <c r="F66">
        <v>3</v>
      </c>
      <c r="G66" t="s">
        <v>136</v>
      </c>
      <c r="H66" s="2">
        <v>28</v>
      </c>
      <c r="I66" t="s">
        <v>27</v>
      </c>
      <c r="J66">
        <v>100</v>
      </c>
      <c r="K66" t="s">
        <v>136</v>
      </c>
      <c r="L66">
        <v>28</v>
      </c>
      <c r="M66" t="s">
        <v>28</v>
      </c>
      <c r="N66" t="s">
        <v>29</v>
      </c>
      <c r="O66" t="s">
        <v>73</v>
      </c>
      <c r="P66" t="s">
        <v>34</v>
      </c>
      <c r="Q66">
        <v>557.6</v>
      </c>
      <c r="R66">
        <v>31.55</v>
      </c>
      <c r="S66">
        <v>387.67</v>
      </c>
      <c r="T66">
        <v>12.42</v>
      </c>
      <c r="U66">
        <v>38767</v>
      </c>
    </row>
    <row r="67" spans="1:21" x14ac:dyDescent="0.25">
      <c r="A67" t="s">
        <v>152</v>
      </c>
      <c r="B67" t="s">
        <v>22</v>
      </c>
      <c r="C67" t="s">
        <v>23</v>
      </c>
      <c r="D67" t="s">
        <v>24</v>
      </c>
      <c r="E67" t="s">
        <v>25</v>
      </c>
      <c r="F67">
        <v>4</v>
      </c>
      <c r="G67" t="s">
        <v>136</v>
      </c>
      <c r="H67" s="2">
        <v>28</v>
      </c>
      <c r="I67" t="s">
        <v>27</v>
      </c>
      <c r="J67">
        <v>100</v>
      </c>
      <c r="K67" t="s">
        <v>136</v>
      </c>
      <c r="L67">
        <v>28</v>
      </c>
      <c r="M67" t="s">
        <v>28</v>
      </c>
      <c r="N67" t="s">
        <v>29</v>
      </c>
      <c r="O67" t="s">
        <v>73</v>
      </c>
      <c r="P67" t="s">
        <v>41</v>
      </c>
      <c r="Q67">
        <v>647.08000000000004</v>
      </c>
      <c r="R67">
        <v>36.630000000000003</v>
      </c>
      <c r="S67">
        <v>449.88</v>
      </c>
      <c r="T67">
        <v>12.47</v>
      </c>
      <c r="U67">
        <v>44988</v>
      </c>
    </row>
    <row r="68" spans="1:21" x14ac:dyDescent="0.25">
      <c r="A68" t="s">
        <v>153</v>
      </c>
      <c r="B68" t="s">
        <v>22</v>
      </c>
      <c r="C68" t="s">
        <v>23</v>
      </c>
      <c r="D68" t="s">
        <v>24</v>
      </c>
      <c r="E68" t="s">
        <v>25</v>
      </c>
      <c r="F68">
        <v>3</v>
      </c>
      <c r="G68" t="s">
        <v>136</v>
      </c>
      <c r="H68" s="2">
        <v>28</v>
      </c>
      <c r="I68" t="s">
        <v>27</v>
      </c>
      <c r="J68">
        <v>100</v>
      </c>
      <c r="K68" t="s">
        <v>136</v>
      </c>
      <c r="L68">
        <v>28</v>
      </c>
      <c r="M68" t="s">
        <v>28</v>
      </c>
      <c r="N68" t="s">
        <v>29</v>
      </c>
      <c r="O68" t="s">
        <v>73</v>
      </c>
      <c r="P68" t="s">
        <v>33</v>
      </c>
      <c r="Q68">
        <v>573.91999999999996</v>
      </c>
      <c r="R68">
        <v>32.479999999999997</v>
      </c>
      <c r="S68">
        <v>399.01</v>
      </c>
      <c r="T68">
        <v>12.15</v>
      </c>
      <c r="U68">
        <v>39901</v>
      </c>
    </row>
    <row r="69" spans="1:21" x14ac:dyDescent="0.25">
      <c r="A69" t="s">
        <v>153</v>
      </c>
      <c r="B69" t="s">
        <v>22</v>
      </c>
      <c r="C69" t="s">
        <v>23</v>
      </c>
      <c r="D69" t="s">
        <v>24</v>
      </c>
      <c r="E69" t="s">
        <v>25</v>
      </c>
      <c r="F69">
        <v>4</v>
      </c>
      <c r="G69" t="s">
        <v>136</v>
      </c>
      <c r="H69" s="2">
        <v>28</v>
      </c>
      <c r="I69" t="s">
        <v>27</v>
      </c>
      <c r="J69">
        <v>100</v>
      </c>
      <c r="K69" t="s">
        <v>136</v>
      </c>
      <c r="L69">
        <v>28</v>
      </c>
      <c r="M69" t="s">
        <v>28</v>
      </c>
      <c r="N69" t="s">
        <v>29</v>
      </c>
      <c r="O69" t="s">
        <v>73</v>
      </c>
      <c r="P69" t="s">
        <v>33</v>
      </c>
      <c r="Q69">
        <v>579.32000000000005</v>
      </c>
      <c r="R69">
        <v>32.79</v>
      </c>
      <c r="S69">
        <v>402.77</v>
      </c>
      <c r="T69">
        <v>12.21</v>
      </c>
      <c r="U69">
        <v>40277</v>
      </c>
    </row>
    <row r="70" spans="1:21" x14ac:dyDescent="0.25">
      <c r="A70" t="s">
        <v>154</v>
      </c>
      <c r="B70" t="s">
        <v>22</v>
      </c>
      <c r="C70" t="s">
        <v>23</v>
      </c>
      <c r="D70" t="s">
        <v>24</v>
      </c>
      <c r="E70" t="s">
        <v>25</v>
      </c>
      <c r="F70">
        <v>3</v>
      </c>
      <c r="G70" t="s">
        <v>136</v>
      </c>
      <c r="H70" s="2">
        <v>28</v>
      </c>
      <c r="I70" t="s">
        <v>27</v>
      </c>
      <c r="J70">
        <v>100</v>
      </c>
      <c r="K70" t="s">
        <v>136</v>
      </c>
      <c r="L70">
        <v>28</v>
      </c>
      <c r="M70" t="s">
        <v>28</v>
      </c>
      <c r="N70" t="s">
        <v>29</v>
      </c>
      <c r="O70" t="s">
        <v>73</v>
      </c>
      <c r="P70" t="s">
        <v>31</v>
      </c>
      <c r="Q70">
        <v>640.28</v>
      </c>
      <c r="R70">
        <v>36.24</v>
      </c>
      <c r="S70">
        <v>445.15</v>
      </c>
      <c r="T70">
        <v>12.3</v>
      </c>
      <c r="U70">
        <v>44515</v>
      </c>
    </row>
    <row r="71" spans="1:21" x14ac:dyDescent="0.25">
      <c r="A71" t="s">
        <v>154</v>
      </c>
      <c r="B71" t="s">
        <v>22</v>
      </c>
      <c r="C71" t="s">
        <v>23</v>
      </c>
      <c r="D71" t="s">
        <v>24</v>
      </c>
      <c r="E71" t="s">
        <v>25</v>
      </c>
      <c r="F71">
        <v>4</v>
      </c>
      <c r="G71" t="s">
        <v>136</v>
      </c>
      <c r="H71" s="2">
        <v>28</v>
      </c>
      <c r="I71" t="s">
        <v>27</v>
      </c>
      <c r="J71">
        <v>100</v>
      </c>
      <c r="K71" t="s">
        <v>136</v>
      </c>
      <c r="L71">
        <v>28</v>
      </c>
      <c r="M71" t="s">
        <v>28</v>
      </c>
      <c r="N71" t="s">
        <v>29</v>
      </c>
      <c r="O71" t="s">
        <v>73</v>
      </c>
      <c r="P71" t="s">
        <v>31</v>
      </c>
      <c r="Q71">
        <v>633.47</v>
      </c>
      <c r="R71">
        <v>35.86</v>
      </c>
      <c r="S71">
        <v>440.42</v>
      </c>
      <c r="T71">
        <v>12.17</v>
      </c>
      <c r="U71">
        <v>44042</v>
      </c>
    </row>
    <row r="72" spans="1:21" x14ac:dyDescent="0.25">
      <c r="A72" t="s">
        <v>155</v>
      </c>
      <c r="B72" t="s">
        <v>22</v>
      </c>
      <c r="C72" t="s">
        <v>23</v>
      </c>
      <c r="D72" t="s">
        <v>24</v>
      </c>
      <c r="E72" t="s">
        <v>25</v>
      </c>
      <c r="F72">
        <v>3</v>
      </c>
      <c r="G72" t="s">
        <v>136</v>
      </c>
      <c r="H72" s="2">
        <v>28</v>
      </c>
      <c r="I72" t="s">
        <v>27</v>
      </c>
      <c r="J72">
        <v>100</v>
      </c>
      <c r="K72" t="s">
        <v>136</v>
      </c>
      <c r="L72">
        <v>28</v>
      </c>
      <c r="M72" t="s">
        <v>28</v>
      </c>
      <c r="N72" t="s">
        <v>29</v>
      </c>
      <c r="O72" t="s">
        <v>73</v>
      </c>
      <c r="P72" t="s">
        <v>43</v>
      </c>
      <c r="Q72">
        <v>555.28</v>
      </c>
      <c r="R72">
        <v>31.43</v>
      </c>
      <c r="S72">
        <v>386.06</v>
      </c>
      <c r="T72">
        <v>12.42</v>
      </c>
      <c r="U72">
        <v>38606</v>
      </c>
    </row>
    <row r="73" spans="1:21" x14ac:dyDescent="0.25">
      <c r="A73" t="s">
        <v>155</v>
      </c>
      <c r="B73" t="s">
        <v>22</v>
      </c>
      <c r="C73" t="s">
        <v>23</v>
      </c>
      <c r="D73" t="s">
        <v>24</v>
      </c>
      <c r="E73" t="s">
        <v>25</v>
      </c>
      <c r="F73">
        <v>4</v>
      </c>
      <c r="G73" t="s">
        <v>136</v>
      </c>
      <c r="H73" s="2">
        <v>28</v>
      </c>
      <c r="I73" t="s">
        <v>27</v>
      </c>
      <c r="J73">
        <v>100</v>
      </c>
      <c r="K73" t="s">
        <v>136</v>
      </c>
      <c r="L73">
        <v>28</v>
      </c>
      <c r="M73" t="s">
        <v>28</v>
      </c>
      <c r="N73" t="s">
        <v>29</v>
      </c>
      <c r="O73" t="s">
        <v>73</v>
      </c>
      <c r="P73" t="s">
        <v>33</v>
      </c>
      <c r="Q73">
        <v>565.71</v>
      </c>
      <c r="R73">
        <v>32.020000000000003</v>
      </c>
      <c r="S73">
        <v>393.31</v>
      </c>
      <c r="T73">
        <v>12.23</v>
      </c>
      <c r="U73">
        <v>39331</v>
      </c>
    </row>
    <row r="74" spans="1:21" x14ac:dyDescent="0.25">
      <c r="A74" t="s">
        <v>173</v>
      </c>
      <c r="B74" t="s">
        <v>22</v>
      </c>
      <c r="C74" t="s">
        <v>23</v>
      </c>
      <c r="D74" t="s">
        <v>24</v>
      </c>
      <c r="E74" t="s">
        <v>25</v>
      </c>
      <c r="F74">
        <v>3</v>
      </c>
      <c r="G74" t="s">
        <v>174</v>
      </c>
      <c r="H74" s="2">
        <v>28</v>
      </c>
      <c r="I74" t="s">
        <v>27</v>
      </c>
      <c r="J74">
        <v>100</v>
      </c>
      <c r="K74" t="s">
        <v>174</v>
      </c>
      <c r="L74">
        <v>28</v>
      </c>
      <c r="M74" t="s">
        <v>28</v>
      </c>
      <c r="N74" t="s">
        <v>29</v>
      </c>
      <c r="O74" t="s">
        <v>175</v>
      </c>
      <c r="P74" t="s">
        <v>34</v>
      </c>
      <c r="Q74">
        <v>628.49</v>
      </c>
      <c r="R74">
        <v>35.57</v>
      </c>
      <c r="S74">
        <v>436.95</v>
      </c>
      <c r="T74">
        <v>12.49</v>
      </c>
      <c r="U74">
        <v>43695</v>
      </c>
    </row>
    <row r="75" spans="1:21" x14ac:dyDescent="0.25">
      <c r="A75" t="s">
        <v>173</v>
      </c>
      <c r="B75" t="s">
        <v>22</v>
      </c>
      <c r="C75" t="s">
        <v>23</v>
      </c>
      <c r="D75" t="s">
        <v>24</v>
      </c>
      <c r="E75" t="s">
        <v>25</v>
      </c>
      <c r="F75">
        <v>4</v>
      </c>
      <c r="G75" t="s">
        <v>174</v>
      </c>
      <c r="H75" s="2">
        <v>28</v>
      </c>
      <c r="I75" t="s">
        <v>27</v>
      </c>
      <c r="J75">
        <v>100</v>
      </c>
      <c r="K75" t="s">
        <v>174</v>
      </c>
      <c r="L75">
        <v>28</v>
      </c>
      <c r="M75" t="s">
        <v>28</v>
      </c>
      <c r="N75" t="s">
        <v>29</v>
      </c>
      <c r="O75" t="s">
        <v>175</v>
      </c>
      <c r="P75" t="s">
        <v>43</v>
      </c>
      <c r="Q75">
        <v>617.72</v>
      </c>
      <c r="R75">
        <v>34.96</v>
      </c>
      <c r="S75">
        <v>429.47</v>
      </c>
      <c r="T75">
        <v>12.26</v>
      </c>
      <c r="U75">
        <v>42947</v>
      </c>
    </row>
    <row r="76" spans="1:21" x14ac:dyDescent="0.25">
      <c r="A76" t="s">
        <v>176</v>
      </c>
      <c r="B76" t="s">
        <v>22</v>
      </c>
      <c r="C76" t="s">
        <v>23</v>
      </c>
      <c r="D76" t="s">
        <v>24</v>
      </c>
      <c r="E76" t="s">
        <v>25</v>
      </c>
      <c r="F76">
        <v>3</v>
      </c>
      <c r="G76" t="s">
        <v>174</v>
      </c>
      <c r="H76" s="2">
        <v>28</v>
      </c>
      <c r="I76" t="s">
        <v>27</v>
      </c>
      <c r="J76">
        <v>100</v>
      </c>
      <c r="K76" t="s">
        <v>174</v>
      </c>
      <c r="L76">
        <v>28</v>
      </c>
      <c r="M76" t="s">
        <v>28</v>
      </c>
      <c r="N76" t="s">
        <v>29</v>
      </c>
      <c r="O76" t="s">
        <v>175</v>
      </c>
      <c r="P76" t="s">
        <v>31</v>
      </c>
      <c r="Q76">
        <v>584.96</v>
      </c>
      <c r="R76">
        <v>33.1</v>
      </c>
      <c r="S76">
        <v>406.69</v>
      </c>
      <c r="T76">
        <v>12.24</v>
      </c>
      <c r="U76">
        <v>40669</v>
      </c>
    </row>
    <row r="77" spans="1:21" x14ac:dyDescent="0.25">
      <c r="A77" t="s">
        <v>176</v>
      </c>
      <c r="B77" t="s">
        <v>22</v>
      </c>
      <c r="C77" t="s">
        <v>23</v>
      </c>
      <c r="D77" t="s">
        <v>24</v>
      </c>
      <c r="E77" t="s">
        <v>25</v>
      </c>
      <c r="F77">
        <v>4</v>
      </c>
      <c r="G77" t="s">
        <v>174</v>
      </c>
      <c r="H77" s="2">
        <v>28</v>
      </c>
      <c r="I77" t="s">
        <v>27</v>
      </c>
      <c r="J77">
        <v>100</v>
      </c>
      <c r="K77" t="s">
        <v>174</v>
      </c>
      <c r="L77">
        <v>28</v>
      </c>
      <c r="M77" t="s">
        <v>28</v>
      </c>
      <c r="N77" t="s">
        <v>29</v>
      </c>
      <c r="O77" t="s">
        <v>175</v>
      </c>
      <c r="P77" t="s">
        <v>33</v>
      </c>
      <c r="Q77">
        <v>572.29</v>
      </c>
      <c r="R77">
        <v>32.39</v>
      </c>
      <c r="S77">
        <v>397.88</v>
      </c>
      <c r="T77">
        <v>12.43</v>
      </c>
      <c r="U77">
        <v>39788</v>
      </c>
    </row>
    <row r="78" spans="1:21" x14ac:dyDescent="0.25">
      <c r="A78" t="s">
        <v>177</v>
      </c>
      <c r="B78" t="s">
        <v>22</v>
      </c>
      <c r="C78" t="s">
        <v>23</v>
      </c>
      <c r="D78" t="s">
        <v>24</v>
      </c>
      <c r="E78" t="s">
        <v>25</v>
      </c>
      <c r="F78">
        <v>3</v>
      </c>
      <c r="G78" t="s">
        <v>174</v>
      </c>
      <c r="H78" s="2">
        <v>28</v>
      </c>
      <c r="I78" t="s">
        <v>27</v>
      </c>
      <c r="J78">
        <v>100</v>
      </c>
      <c r="K78" t="s">
        <v>174</v>
      </c>
      <c r="L78">
        <v>28</v>
      </c>
      <c r="M78" t="s">
        <v>28</v>
      </c>
      <c r="N78" t="s">
        <v>29</v>
      </c>
      <c r="O78" t="s">
        <v>178</v>
      </c>
      <c r="P78" t="s">
        <v>41</v>
      </c>
      <c r="Q78">
        <v>592.24</v>
      </c>
      <c r="R78">
        <v>33.520000000000003</v>
      </c>
      <c r="S78">
        <v>411.75</v>
      </c>
      <c r="T78">
        <v>12.49</v>
      </c>
      <c r="U78">
        <v>41175</v>
      </c>
    </row>
    <row r="79" spans="1:21" x14ac:dyDescent="0.25">
      <c r="A79" t="s">
        <v>177</v>
      </c>
      <c r="B79" t="s">
        <v>22</v>
      </c>
      <c r="C79" t="s">
        <v>23</v>
      </c>
      <c r="D79" t="s">
        <v>24</v>
      </c>
      <c r="E79" t="s">
        <v>25</v>
      </c>
      <c r="F79">
        <v>4</v>
      </c>
      <c r="G79" t="s">
        <v>174</v>
      </c>
      <c r="H79" s="2">
        <v>28</v>
      </c>
      <c r="I79" t="s">
        <v>27</v>
      </c>
      <c r="J79">
        <v>100</v>
      </c>
      <c r="K79" t="s">
        <v>174</v>
      </c>
      <c r="L79">
        <v>28</v>
      </c>
      <c r="M79" t="s">
        <v>28</v>
      </c>
      <c r="N79" t="s">
        <v>29</v>
      </c>
      <c r="O79" t="s">
        <v>178</v>
      </c>
      <c r="P79" t="s">
        <v>33</v>
      </c>
      <c r="Q79">
        <v>604.41</v>
      </c>
      <c r="R79">
        <v>34.21</v>
      </c>
      <c r="S79">
        <v>420.21</v>
      </c>
      <c r="T79">
        <v>12.42</v>
      </c>
      <c r="U79">
        <v>42021</v>
      </c>
    </row>
    <row r="80" spans="1:21" x14ac:dyDescent="0.25">
      <c r="A80" t="s">
        <v>179</v>
      </c>
      <c r="B80" t="s">
        <v>22</v>
      </c>
      <c r="C80" t="s">
        <v>23</v>
      </c>
      <c r="D80" t="s">
        <v>24</v>
      </c>
      <c r="E80" t="s">
        <v>25</v>
      </c>
      <c r="F80">
        <v>3</v>
      </c>
      <c r="G80" t="s">
        <v>174</v>
      </c>
      <c r="H80" s="2">
        <v>28</v>
      </c>
      <c r="I80" t="s">
        <v>27</v>
      </c>
      <c r="J80">
        <v>100</v>
      </c>
      <c r="K80" t="s">
        <v>174</v>
      </c>
      <c r="L80">
        <v>28</v>
      </c>
      <c r="M80" t="s">
        <v>28</v>
      </c>
      <c r="N80" t="s">
        <v>29</v>
      </c>
      <c r="O80" t="s">
        <v>178</v>
      </c>
      <c r="P80" t="s">
        <v>34</v>
      </c>
      <c r="Q80">
        <v>566.17999999999995</v>
      </c>
      <c r="R80">
        <v>32.04</v>
      </c>
      <c r="S80">
        <v>393.63</v>
      </c>
      <c r="T80">
        <v>12.43</v>
      </c>
      <c r="U80">
        <v>39363</v>
      </c>
    </row>
    <row r="81" spans="1:21" x14ac:dyDescent="0.25">
      <c r="A81" t="s">
        <v>179</v>
      </c>
      <c r="B81" t="s">
        <v>22</v>
      </c>
      <c r="C81" t="s">
        <v>23</v>
      </c>
      <c r="D81" t="s">
        <v>24</v>
      </c>
      <c r="E81" t="s">
        <v>25</v>
      </c>
      <c r="F81">
        <v>4</v>
      </c>
      <c r="G81" t="s">
        <v>174</v>
      </c>
      <c r="H81" s="2">
        <v>28</v>
      </c>
      <c r="I81" t="s">
        <v>27</v>
      </c>
      <c r="J81">
        <v>100</v>
      </c>
      <c r="K81" t="s">
        <v>174</v>
      </c>
      <c r="L81">
        <v>28</v>
      </c>
      <c r="M81" t="s">
        <v>28</v>
      </c>
      <c r="N81" t="s">
        <v>29</v>
      </c>
      <c r="O81" t="s">
        <v>178</v>
      </c>
      <c r="P81" t="s">
        <v>33</v>
      </c>
      <c r="Q81">
        <v>654.85</v>
      </c>
      <c r="R81">
        <v>37.07</v>
      </c>
      <c r="S81">
        <v>455.28</v>
      </c>
      <c r="T81">
        <v>12.46</v>
      </c>
      <c r="U81">
        <v>45528</v>
      </c>
    </row>
    <row r="82" spans="1:21" x14ac:dyDescent="0.25">
      <c r="A82" t="s">
        <v>182</v>
      </c>
      <c r="B82" t="s">
        <v>22</v>
      </c>
      <c r="C82" t="s">
        <v>23</v>
      </c>
      <c r="D82" t="s">
        <v>24</v>
      </c>
      <c r="E82" t="s">
        <v>25</v>
      </c>
      <c r="F82">
        <v>3</v>
      </c>
      <c r="G82" t="s">
        <v>174</v>
      </c>
      <c r="H82" s="2">
        <v>28</v>
      </c>
      <c r="I82" t="s">
        <v>27</v>
      </c>
      <c r="J82">
        <v>100</v>
      </c>
      <c r="K82" t="s">
        <v>174</v>
      </c>
      <c r="L82">
        <v>28</v>
      </c>
      <c r="M82" t="s">
        <v>28</v>
      </c>
      <c r="N82" t="s">
        <v>29</v>
      </c>
      <c r="O82" t="s">
        <v>123</v>
      </c>
      <c r="P82" t="s">
        <v>31</v>
      </c>
      <c r="Q82">
        <v>500</v>
      </c>
      <c r="R82">
        <v>28.29</v>
      </c>
      <c r="S82">
        <v>347.62</v>
      </c>
      <c r="T82">
        <v>12.44</v>
      </c>
      <c r="U82">
        <v>34762</v>
      </c>
    </row>
    <row r="83" spans="1:21" x14ac:dyDescent="0.25">
      <c r="A83" t="s">
        <v>182</v>
      </c>
      <c r="B83" t="s">
        <v>22</v>
      </c>
      <c r="C83" t="s">
        <v>23</v>
      </c>
      <c r="D83" t="s">
        <v>24</v>
      </c>
      <c r="E83" t="s">
        <v>25</v>
      </c>
      <c r="F83">
        <v>4</v>
      </c>
      <c r="G83" t="s">
        <v>174</v>
      </c>
      <c r="H83" s="2">
        <v>28</v>
      </c>
      <c r="I83" t="s">
        <v>27</v>
      </c>
      <c r="J83">
        <v>100</v>
      </c>
      <c r="K83" t="s">
        <v>174</v>
      </c>
      <c r="L83">
        <v>28</v>
      </c>
      <c r="M83" t="s">
        <v>28</v>
      </c>
      <c r="N83" t="s">
        <v>29</v>
      </c>
      <c r="O83" t="s">
        <v>123</v>
      </c>
      <c r="P83" t="s">
        <v>34</v>
      </c>
      <c r="Q83">
        <v>521.37</v>
      </c>
      <c r="R83">
        <v>29.5</v>
      </c>
      <c r="S83">
        <v>362.48</v>
      </c>
      <c r="T83">
        <v>12.45</v>
      </c>
      <c r="U83">
        <v>36248</v>
      </c>
    </row>
    <row r="84" spans="1:21" x14ac:dyDescent="0.25">
      <c r="A84" t="s">
        <v>183</v>
      </c>
      <c r="B84" t="s">
        <v>22</v>
      </c>
      <c r="C84" t="s">
        <v>23</v>
      </c>
      <c r="D84" t="s">
        <v>24</v>
      </c>
      <c r="E84" t="s">
        <v>25</v>
      </c>
      <c r="F84">
        <v>3</v>
      </c>
      <c r="G84" t="s">
        <v>174</v>
      </c>
      <c r="H84" s="2">
        <v>28</v>
      </c>
      <c r="I84" t="s">
        <v>27</v>
      </c>
      <c r="J84">
        <v>100</v>
      </c>
      <c r="K84" t="s">
        <v>174</v>
      </c>
      <c r="L84">
        <v>28</v>
      </c>
      <c r="M84" t="s">
        <v>28</v>
      </c>
      <c r="N84" t="s">
        <v>29</v>
      </c>
      <c r="O84" t="s">
        <v>123</v>
      </c>
      <c r="P84" t="s">
        <v>41</v>
      </c>
      <c r="Q84">
        <v>621.65</v>
      </c>
      <c r="R84">
        <v>35.19</v>
      </c>
      <c r="S84">
        <v>432.2</v>
      </c>
      <c r="T84">
        <v>12.4</v>
      </c>
      <c r="U84">
        <v>43220</v>
      </c>
    </row>
    <row r="85" spans="1:21" x14ac:dyDescent="0.25">
      <c r="A85" t="s">
        <v>183</v>
      </c>
      <c r="B85" t="s">
        <v>22</v>
      </c>
      <c r="C85" t="s">
        <v>23</v>
      </c>
      <c r="D85" t="s">
        <v>24</v>
      </c>
      <c r="E85" t="s">
        <v>25</v>
      </c>
      <c r="F85">
        <v>4</v>
      </c>
      <c r="G85" t="s">
        <v>174</v>
      </c>
      <c r="H85" s="2">
        <v>28</v>
      </c>
      <c r="I85" t="s">
        <v>27</v>
      </c>
      <c r="J85">
        <v>100</v>
      </c>
      <c r="K85" t="s">
        <v>174</v>
      </c>
      <c r="L85">
        <v>28</v>
      </c>
      <c r="M85" t="s">
        <v>28</v>
      </c>
      <c r="N85" t="s">
        <v>29</v>
      </c>
      <c r="O85" t="s">
        <v>123</v>
      </c>
      <c r="P85" t="s">
        <v>41</v>
      </c>
      <c r="Q85">
        <v>613.96</v>
      </c>
      <c r="R85">
        <v>34.75</v>
      </c>
      <c r="S85">
        <v>426.85</v>
      </c>
      <c r="T85">
        <v>12.24</v>
      </c>
      <c r="U85">
        <v>42685</v>
      </c>
    </row>
    <row r="86" spans="1:21" x14ac:dyDescent="0.25">
      <c r="A86" t="s">
        <v>199</v>
      </c>
      <c r="B86" t="s">
        <v>22</v>
      </c>
      <c r="C86" t="s">
        <v>23</v>
      </c>
      <c r="D86" t="s">
        <v>24</v>
      </c>
      <c r="E86" t="s">
        <v>25</v>
      </c>
      <c r="F86">
        <v>3</v>
      </c>
      <c r="G86" t="s">
        <v>200</v>
      </c>
      <c r="H86" s="2">
        <v>28</v>
      </c>
      <c r="I86" t="s">
        <v>27</v>
      </c>
      <c r="J86">
        <v>100</v>
      </c>
      <c r="K86" t="s">
        <v>200</v>
      </c>
      <c r="L86">
        <v>28</v>
      </c>
      <c r="M86" t="s">
        <v>28</v>
      </c>
      <c r="N86" t="s">
        <v>29</v>
      </c>
      <c r="O86" t="s">
        <v>201</v>
      </c>
      <c r="P86" t="s">
        <v>31</v>
      </c>
      <c r="Q86">
        <v>578.64</v>
      </c>
      <c r="R86">
        <v>32.75</v>
      </c>
      <c r="S86">
        <v>402.3</v>
      </c>
      <c r="T86">
        <v>12.11</v>
      </c>
      <c r="U86">
        <v>40230</v>
      </c>
    </row>
    <row r="87" spans="1:21" x14ac:dyDescent="0.25">
      <c r="A87" t="s">
        <v>199</v>
      </c>
      <c r="B87" t="s">
        <v>22</v>
      </c>
      <c r="C87" t="s">
        <v>23</v>
      </c>
      <c r="D87" t="s">
        <v>24</v>
      </c>
      <c r="E87" t="s">
        <v>25</v>
      </c>
      <c r="F87">
        <v>4</v>
      </c>
      <c r="G87" t="s">
        <v>200</v>
      </c>
      <c r="H87" s="2">
        <v>28</v>
      </c>
      <c r="I87" t="s">
        <v>27</v>
      </c>
      <c r="J87">
        <v>100</v>
      </c>
      <c r="K87" t="s">
        <v>200</v>
      </c>
      <c r="L87">
        <v>28</v>
      </c>
      <c r="M87" t="s">
        <v>28</v>
      </c>
      <c r="N87" t="s">
        <v>29</v>
      </c>
      <c r="O87" t="s">
        <v>201</v>
      </c>
      <c r="P87" t="s">
        <v>43</v>
      </c>
      <c r="Q87">
        <v>585.01</v>
      </c>
      <c r="R87">
        <v>33.11</v>
      </c>
      <c r="S87">
        <v>406.72</v>
      </c>
      <c r="T87">
        <v>12.43</v>
      </c>
      <c r="U87">
        <v>40672</v>
      </c>
    </row>
    <row r="88" spans="1:21" x14ac:dyDescent="0.25">
      <c r="A88" t="s">
        <v>202</v>
      </c>
      <c r="B88" t="s">
        <v>22</v>
      </c>
      <c r="C88" t="s">
        <v>23</v>
      </c>
      <c r="D88" t="s">
        <v>24</v>
      </c>
      <c r="E88" t="s">
        <v>25</v>
      </c>
      <c r="F88">
        <v>3</v>
      </c>
      <c r="G88" t="s">
        <v>200</v>
      </c>
      <c r="H88" s="2">
        <v>28</v>
      </c>
      <c r="I88" t="s">
        <v>27</v>
      </c>
      <c r="J88">
        <v>100</v>
      </c>
      <c r="K88" t="s">
        <v>200</v>
      </c>
      <c r="L88">
        <v>28</v>
      </c>
      <c r="M88" t="s">
        <v>28</v>
      </c>
      <c r="N88" t="s">
        <v>29</v>
      </c>
      <c r="O88" t="s">
        <v>201</v>
      </c>
      <c r="P88" t="s">
        <v>31</v>
      </c>
      <c r="Q88">
        <v>647.9</v>
      </c>
      <c r="R88">
        <v>36.67</v>
      </c>
      <c r="S88">
        <v>450.45</v>
      </c>
      <c r="T88">
        <v>12.44</v>
      </c>
      <c r="U88">
        <v>45045</v>
      </c>
    </row>
    <row r="89" spans="1:21" x14ac:dyDescent="0.25">
      <c r="A89" t="s">
        <v>202</v>
      </c>
      <c r="B89" t="s">
        <v>22</v>
      </c>
      <c r="C89" t="s">
        <v>23</v>
      </c>
      <c r="D89" t="s">
        <v>24</v>
      </c>
      <c r="E89" t="s">
        <v>25</v>
      </c>
      <c r="F89">
        <v>4</v>
      </c>
      <c r="G89" t="s">
        <v>200</v>
      </c>
      <c r="H89" s="2">
        <v>28</v>
      </c>
      <c r="I89" t="s">
        <v>27</v>
      </c>
      <c r="J89">
        <v>100</v>
      </c>
      <c r="K89" t="s">
        <v>200</v>
      </c>
      <c r="L89">
        <v>28</v>
      </c>
      <c r="M89" t="s">
        <v>28</v>
      </c>
      <c r="N89" t="s">
        <v>29</v>
      </c>
      <c r="O89" t="s">
        <v>201</v>
      </c>
      <c r="P89" t="s">
        <v>33</v>
      </c>
      <c r="Q89">
        <v>630.05999999999995</v>
      </c>
      <c r="R89">
        <v>35.659999999999997</v>
      </c>
      <c r="S89">
        <v>438.05</v>
      </c>
      <c r="T89">
        <v>12.17</v>
      </c>
      <c r="U89">
        <v>43805</v>
      </c>
    </row>
    <row r="90" spans="1:21" x14ac:dyDescent="0.25">
      <c r="A90" t="s">
        <v>203</v>
      </c>
      <c r="B90" t="s">
        <v>22</v>
      </c>
      <c r="C90" t="s">
        <v>23</v>
      </c>
      <c r="D90" t="s">
        <v>24</v>
      </c>
      <c r="E90" t="s">
        <v>25</v>
      </c>
      <c r="F90">
        <v>3</v>
      </c>
      <c r="G90" t="s">
        <v>200</v>
      </c>
      <c r="H90" s="2">
        <v>28</v>
      </c>
      <c r="I90" t="s">
        <v>27</v>
      </c>
      <c r="J90">
        <v>100</v>
      </c>
      <c r="K90" t="s">
        <v>200</v>
      </c>
      <c r="L90">
        <v>28</v>
      </c>
      <c r="M90" t="s">
        <v>28</v>
      </c>
      <c r="N90" t="s">
        <v>29</v>
      </c>
      <c r="O90" t="s">
        <v>204</v>
      </c>
      <c r="P90" t="s">
        <v>31</v>
      </c>
      <c r="Q90">
        <v>557.85</v>
      </c>
      <c r="R90">
        <v>31.57</v>
      </c>
      <c r="S90">
        <v>387.84</v>
      </c>
      <c r="T90">
        <v>12.37</v>
      </c>
      <c r="U90">
        <v>38784</v>
      </c>
    </row>
    <row r="91" spans="1:21" x14ac:dyDescent="0.25">
      <c r="A91" t="s">
        <v>203</v>
      </c>
      <c r="B91" t="s">
        <v>22</v>
      </c>
      <c r="C91" t="s">
        <v>23</v>
      </c>
      <c r="D91" t="s">
        <v>24</v>
      </c>
      <c r="E91" t="s">
        <v>25</v>
      </c>
      <c r="F91">
        <v>4</v>
      </c>
      <c r="G91" t="s">
        <v>200</v>
      </c>
      <c r="H91" s="2">
        <v>28</v>
      </c>
      <c r="I91" t="s">
        <v>27</v>
      </c>
      <c r="J91">
        <v>100</v>
      </c>
      <c r="K91" t="s">
        <v>200</v>
      </c>
      <c r="L91">
        <v>28</v>
      </c>
      <c r="M91" t="s">
        <v>28</v>
      </c>
      <c r="N91" t="s">
        <v>29</v>
      </c>
      <c r="O91" t="s">
        <v>204</v>
      </c>
      <c r="P91" t="s">
        <v>34</v>
      </c>
      <c r="Q91">
        <v>566.59</v>
      </c>
      <c r="R91">
        <v>32.07</v>
      </c>
      <c r="S91">
        <v>393.92</v>
      </c>
      <c r="T91">
        <v>12.26</v>
      </c>
      <c r="U91">
        <v>39392</v>
      </c>
    </row>
    <row r="92" spans="1:21" x14ac:dyDescent="0.25">
      <c r="A92" t="s">
        <v>205</v>
      </c>
      <c r="B92" t="s">
        <v>22</v>
      </c>
      <c r="C92" t="s">
        <v>23</v>
      </c>
      <c r="D92" t="s">
        <v>24</v>
      </c>
      <c r="E92" t="s">
        <v>25</v>
      </c>
      <c r="F92">
        <v>3</v>
      </c>
      <c r="G92" t="s">
        <v>200</v>
      </c>
      <c r="H92" s="2">
        <v>28</v>
      </c>
      <c r="I92" t="s">
        <v>27</v>
      </c>
      <c r="J92">
        <v>100</v>
      </c>
      <c r="K92" t="s">
        <v>200</v>
      </c>
      <c r="L92">
        <v>28</v>
      </c>
      <c r="M92" t="s">
        <v>28</v>
      </c>
      <c r="N92" t="s">
        <v>29</v>
      </c>
      <c r="O92" t="s">
        <v>204</v>
      </c>
      <c r="P92" t="s">
        <v>43</v>
      </c>
      <c r="Q92">
        <v>632.4</v>
      </c>
      <c r="R92">
        <v>35.79</v>
      </c>
      <c r="S92">
        <v>439.67</v>
      </c>
      <c r="T92">
        <v>12.3</v>
      </c>
      <c r="U92">
        <v>43967</v>
      </c>
    </row>
    <row r="93" spans="1:21" x14ac:dyDescent="0.25">
      <c r="A93" t="s">
        <v>205</v>
      </c>
      <c r="B93" t="s">
        <v>22</v>
      </c>
      <c r="C93" t="s">
        <v>23</v>
      </c>
      <c r="D93" t="s">
        <v>24</v>
      </c>
      <c r="E93" t="s">
        <v>25</v>
      </c>
      <c r="F93">
        <v>4</v>
      </c>
      <c r="G93" t="s">
        <v>200</v>
      </c>
      <c r="H93" s="2">
        <v>28</v>
      </c>
      <c r="I93" t="s">
        <v>27</v>
      </c>
      <c r="J93">
        <v>100</v>
      </c>
      <c r="K93" t="s">
        <v>200</v>
      </c>
      <c r="L93">
        <v>28</v>
      </c>
      <c r="M93" t="s">
        <v>28</v>
      </c>
      <c r="N93" t="s">
        <v>29</v>
      </c>
      <c r="O93" t="s">
        <v>204</v>
      </c>
      <c r="P93" t="s">
        <v>31</v>
      </c>
      <c r="Q93">
        <v>618.22</v>
      </c>
      <c r="R93">
        <v>34.99</v>
      </c>
      <c r="S93">
        <v>429.81</v>
      </c>
      <c r="T93">
        <v>12.49</v>
      </c>
      <c r="U93">
        <v>42981</v>
      </c>
    </row>
    <row r="94" spans="1:21" x14ac:dyDescent="0.25">
      <c r="A94" t="s">
        <v>206</v>
      </c>
      <c r="B94" t="s">
        <v>22</v>
      </c>
      <c r="C94" t="s">
        <v>23</v>
      </c>
      <c r="D94" t="s">
        <v>24</v>
      </c>
      <c r="E94" t="s">
        <v>25</v>
      </c>
      <c r="F94">
        <v>3</v>
      </c>
      <c r="G94" t="s">
        <v>200</v>
      </c>
      <c r="H94" s="2">
        <v>28</v>
      </c>
      <c r="I94" t="s">
        <v>27</v>
      </c>
      <c r="J94">
        <v>100</v>
      </c>
      <c r="K94" t="s">
        <v>200</v>
      </c>
      <c r="L94">
        <v>28</v>
      </c>
      <c r="M94" t="s">
        <v>28</v>
      </c>
      <c r="N94" t="s">
        <v>29</v>
      </c>
      <c r="O94" t="s">
        <v>204</v>
      </c>
      <c r="P94" t="s">
        <v>34</v>
      </c>
      <c r="Q94">
        <v>580.77</v>
      </c>
      <c r="R94">
        <v>32.869999999999997</v>
      </c>
      <c r="S94">
        <v>403.78</v>
      </c>
      <c r="T94">
        <v>12.41</v>
      </c>
      <c r="U94">
        <v>40378</v>
      </c>
    </row>
    <row r="95" spans="1:21" x14ac:dyDescent="0.25">
      <c r="A95" t="s">
        <v>206</v>
      </c>
      <c r="B95" t="s">
        <v>22</v>
      </c>
      <c r="C95" t="s">
        <v>23</v>
      </c>
      <c r="D95" t="s">
        <v>24</v>
      </c>
      <c r="E95" t="s">
        <v>25</v>
      </c>
      <c r="F95">
        <v>4</v>
      </c>
      <c r="G95" t="s">
        <v>200</v>
      </c>
      <c r="H95" s="2">
        <v>28</v>
      </c>
      <c r="I95" t="s">
        <v>27</v>
      </c>
      <c r="J95">
        <v>100</v>
      </c>
      <c r="K95" t="s">
        <v>200</v>
      </c>
      <c r="L95">
        <v>28</v>
      </c>
      <c r="M95" t="s">
        <v>28</v>
      </c>
      <c r="N95" t="s">
        <v>29</v>
      </c>
      <c r="O95" t="s">
        <v>204</v>
      </c>
      <c r="P95" t="s">
        <v>41</v>
      </c>
      <c r="Q95">
        <v>564.84</v>
      </c>
      <c r="R95">
        <v>31.96</v>
      </c>
      <c r="S95">
        <v>392.7</v>
      </c>
      <c r="T95">
        <v>12.16</v>
      </c>
      <c r="U95">
        <v>39270</v>
      </c>
    </row>
    <row r="96" spans="1:21" x14ac:dyDescent="0.25">
      <c r="A96" t="s">
        <v>216</v>
      </c>
      <c r="B96" t="s">
        <v>22</v>
      </c>
      <c r="C96" t="s">
        <v>23</v>
      </c>
      <c r="D96" t="s">
        <v>24</v>
      </c>
      <c r="E96" t="s">
        <v>25</v>
      </c>
      <c r="F96">
        <v>3</v>
      </c>
      <c r="G96" t="s">
        <v>200</v>
      </c>
      <c r="H96" s="2">
        <v>28</v>
      </c>
      <c r="I96" t="s">
        <v>27</v>
      </c>
      <c r="J96">
        <v>100</v>
      </c>
      <c r="K96" t="s">
        <v>200</v>
      </c>
      <c r="L96">
        <v>28</v>
      </c>
      <c r="M96" t="s">
        <v>28</v>
      </c>
      <c r="N96" t="s">
        <v>29</v>
      </c>
      <c r="O96" t="s">
        <v>204</v>
      </c>
      <c r="P96" t="s">
        <v>34</v>
      </c>
      <c r="Q96">
        <v>509.86</v>
      </c>
      <c r="R96">
        <v>28.85</v>
      </c>
      <c r="S96">
        <v>354.48</v>
      </c>
      <c r="T96">
        <v>12.17</v>
      </c>
      <c r="U96">
        <v>35448</v>
      </c>
    </row>
    <row r="97" spans="1:21" x14ac:dyDescent="0.25">
      <c r="A97" t="s">
        <v>216</v>
      </c>
      <c r="B97" t="s">
        <v>22</v>
      </c>
      <c r="C97" t="s">
        <v>23</v>
      </c>
      <c r="D97" t="s">
        <v>24</v>
      </c>
      <c r="E97" t="s">
        <v>25</v>
      </c>
      <c r="F97">
        <v>4</v>
      </c>
      <c r="G97" t="s">
        <v>200</v>
      </c>
      <c r="H97" s="2">
        <v>28</v>
      </c>
      <c r="I97" t="s">
        <v>27</v>
      </c>
      <c r="J97">
        <v>100</v>
      </c>
      <c r="K97" t="s">
        <v>200</v>
      </c>
      <c r="L97">
        <v>28</v>
      </c>
      <c r="M97" t="s">
        <v>28</v>
      </c>
      <c r="N97" t="s">
        <v>29</v>
      </c>
      <c r="O97" t="s">
        <v>204</v>
      </c>
      <c r="P97" t="s">
        <v>33</v>
      </c>
      <c r="Q97">
        <v>556.22</v>
      </c>
      <c r="R97">
        <v>31.48</v>
      </c>
      <c r="S97">
        <v>386.71</v>
      </c>
      <c r="T97">
        <v>12.43</v>
      </c>
      <c r="U97">
        <v>38671</v>
      </c>
    </row>
    <row r="98" spans="1:21" x14ac:dyDescent="0.25">
      <c r="A98" t="s">
        <v>217</v>
      </c>
      <c r="B98" t="s">
        <v>22</v>
      </c>
      <c r="C98" t="s">
        <v>23</v>
      </c>
      <c r="D98" t="s">
        <v>24</v>
      </c>
      <c r="E98" t="s">
        <v>25</v>
      </c>
      <c r="F98">
        <v>3</v>
      </c>
      <c r="G98" t="s">
        <v>200</v>
      </c>
      <c r="H98" s="2">
        <v>28</v>
      </c>
      <c r="I98" t="s">
        <v>27</v>
      </c>
      <c r="J98">
        <v>100</v>
      </c>
      <c r="K98" t="s">
        <v>200</v>
      </c>
      <c r="L98">
        <v>28</v>
      </c>
      <c r="M98" t="s">
        <v>28</v>
      </c>
      <c r="N98" t="s">
        <v>29</v>
      </c>
      <c r="O98" t="s">
        <v>204</v>
      </c>
      <c r="P98" t="s">
        <v>41</v>
      </c>
      <c r="Q98">
        <v>625.41</v>
      </c>
      <c r="R98">
        <v>35.4</v>
      </c>
      <c r="S98">
        <v>434.81</v>
      </c>
      <c r="T98">
        <v>12.25</v>
      </c>
      <c r="U98">
        <v>43481</v>
      </c>
    </row>
    <row r="99" spans="1:21" x14ac:dyDescent="0.25">
      <c r="A99" t="s">
        <v>217</v>
      </c>
      <c r="B99" t="s">
        <v>22</v>
      </c>
      <c r="C99" t="s">
        <v>23</v>
      </c>
      <c r="D99" t="s">
        <v>24</v>
      </c>
      <c r="E99" t="s">
        <v>25</v>
      </c>
      <c r="F99">
        <v>4</v>
      </c>
      <c r="G99" t="s">
        <v>200</v>
      </c>
      <c r="H99" s="2">
        <v>28</v>
      </c>
      <c r="I99" t="s">
        <v>27</v>
      </c>
      <c r="J99">
        <v>100</v>
      </c>
      <c r="K99" t="s">
        <v>200</v>
      </c>
      <c r="L99">
        <v>28</v>
      </c>
      <c r="M99" t="s">
        <v>28</v>
      </c>
      <c r="N99" t="s">
        <v>29</v>
      </c>
      <c r="O99" t="s">
        <v>204</v>
      </c>
      <c r="P99" t="s">
        <v>43</v>
      </c>
      <c r="Q99">
        <v>613.09</v>
      </c>
      <c r="R99">
        <v>34.700000000000003</v>
      </c>
      <c r="S99">
        <v>426.25</v>
      </c>
      <c r="T99">
        <v>12.34</v>
      </c>
      <c r="U99">
        <v>42625</v>
      </c>
    </row>
    <row r="100" spans="1:21" x14ac:dyDescent="0.25">
      <c r="A100" t="s">
        <v>218</v>
      </c>
      <c r="B100" t="s">
        <v>22</v>
      </c>
      <c r="C100" t="s">
        <v>23</v>
      </c>
      <c r="D100" t="s">
        <v>24</v>
      </c>
      <c r="E100" t="s">
        <v>25</v>
      </c>
      <c r="F100">
        <v>3</v>
      </c>
      <c r="G100" t="s">
        <v>200</v>
      </c>
      <c r="H100" s="2">
        <v>28</v>
      </c>
      <c r="I100" t="s">
        <v>27</v>
      </c>
      <c r="J100">
        <v>100</v>
      </c>
      <c r="K100" t="s">
        <v>200</v>
      </c>
      <c r="L100">
        <v>28</v>
      </c>
      <c r="M100" t="s">
        <v>28</v>
      </c>
      <c r="N100" t="s">
        <v>29</v>
      </c>
      <c r="O100" t="s">
        <v>204</v>
      </c>
      <c r="P100" t="s">
        <v>33</v>
      </c>
      <c r="Q100">
        <v>574.84</v>
      </c>
      <c r="R100">
        <v>32.53</v>
      </c>
      <c r="S100">
        <v>399.65</v>
      </c>
      <c r="T100">
        <v>12.33</v>
      </c>
      <c r="U100">
        <v>39965</v>
      </c>
    </row>
    <row r="101" spans="1:21" x14ac:dyDescent="0.25">
      <c r="A101" t="s">
        <v>218</v>
      </c>
      <c r="B101" t="s">
        <v>22</v>
      </c>
      <c r="C101" t="s">
        <v>23</v>
      </c>
      <c r="D101" t="s">
        <v>24</v>
      </c>
      <c r="E101" t="s">
        <v>25</v>
      </c>
      <c r="F101">
        <v>4</v>
      </c>
      <c r="G101" t="s">
        <v>200</v>
      </c>
      <c r="H101" s="2">
        <v>28</v>
      </c>
      <c r="I101" t="s">
        <v>27</v>
      </c>
      <c r="J101">
        <v>100</v>
      </c>
      <c r="K101" t="s">
        <v>200</v>
      </c>
      <c r="L101">
        <v>28</v>
      </c>
      <c r="M101" t="s">
        <v>28</v>
      </c>
      <c r="N101" t="s">
        <v>29</v>
      </c>
      <c r="O101" t="s">
        <v>204</v>
      </c>
      <c r="P101" t="s">
        <v>43</v>
      </c>
      <c r="Q101">
        <v>561.22</v>
      </c>
      <c r="R101">
        <v>31.76</v>
      </c>
      <c r="S101">
        <v>390.19</v>
      </c>
      <c r="T101">
        <v>12.37</v>
      </c>
      <c r="U101">
        <v>39019</v>
      </c>
    </row>
    <row r="102" spans="1:21" x14ac:dyDescent="0.25">
      <c r="A102" t="s">
        <v>219</v>
      </c>
      <c r="B102" t="s">
        <v>22</v>
      </c>
      <c r="C102" t="s">
        <v>23</v>
      </c>
      <c r="D102" t="s">
        <v>24</v>
      </c>
      <c r="E102" t="s">
        <v>25</v>
      </c>
      <c r="F102">
        <v>3</v>
      </c>
      <c r="G102" t="s">
        <v>214</v>
      </c>
      <c r="H102" s="2">
        <v>28</v>
      </c>
      <c r="I102" t="s">
        <v>27</v>
      </c>
      <c r="J102">
        <v>100</v>
      </c>
      <c r="K102" t="s">
        <v>214</v>
      </c>
      <c r="L102">
        <v>28</v>
      </c>
      <c r="M102" t="s">
        <v>28</v>
      </c>
      <c r="N102" t="s">
        <v>29</v>
      </c>
      <c r="O102" t="s">
        <v>204</v>
      </c>
      <c r="P102" t="s">
        <v>41</v>
      </c>
      <c r="Q102">
        <v>520</v>
      </c>
      <c r="R102">
        <v>29.43</v>
      </c>
      <c r="S102">
        <v>361.53</v>
      </c>
      <c r="T102">
        <v>12.34</v>
      </c>
      <c r="U102">
        <v>36153</v>
      </c>
    </row>
    <row r="103" spans="1:21" x14ac:dyDescent="0.25">
      <c r="A103" t="s">
        <v>219</v>
      </c>
      <c r="B103" t="s">
        <v>22</v>
      </c>
      <c r="C103" t="s">
        <v>23</v>
      </c>
      <c r="D103" t="s">
        <v>24</v>
      </c>
      <c r="E103" t="s">
        <v>25</v>
      </c>
      <c r="F103">
        <v>4</v>
      </c>
      <c r="G103" t="s">
        <v>214</v>
      </c>
      <c r="H103" s="2">
        <v>28</v>
      </c>
      <c r="I103" t="s">
        <v>27</v>
      </c>
      <c r="J103">
        <v>100</v>
      </c>
      <c r="K103" t="s">
        <v>214</v>
      </c>
      <c r="L103">
        <v>28</v>
      </c>
      <c r="M103" t="s">
        <v>28</v>
      </c>
      <c r="N103" t="s">
        <v>29</v>
      </c>
      <c r="O103" t="s">
        <v>204</v>
      </c>
      <c r="P103" t="s">
        <v>33</v>
      </c>
      <c r="Q103">
        <v>510.52</v>
      </c>
      <c r="R103">
        <v>28.89</v>
      </c>
      <c r="S103">
        <v>354.94</v>
      </c>
      <c r="T103">
        <v>12.44</v>
      </c>
      <c r="U103">
        <v>35494</v>
      </c>
    </row>
    <row r="104" spans="1:21" x14ac:dyDescent="0.25">
      <c r="A104" t="s">
        <v>226</v>
      </c>
      <c r="B104" t="s">
        <v>22</v>
      </c>
      <c r="C104" t="s">
        <v>23</v>
      </c>
      <c r="D104" t="s">
        <v>24</v>
      </c>
      <c r="E104" t="s">
        <v>25</v>
      </c>
      <c r="F104">
        <v>3</v>
      </c>
      <c r="G104" t="s">
        <v>223</v>
      </c>
      <c r="H104" s="2">
        <v>28</v>
      </c>
      <c r="I104" t="s">
        <v>27</v>
      </c>
      <c r="J104">
        <v>100</v>
      </c>
      <c r="K104" t="s">
        <v>223</v>
      </c>
      <c r="L104">
        <v>28</v>
      </c>
      <c r="M104" t="s">
        <v>28</v>
      </c>
      <c r="N104" t="s">
        <v>29</v>
      </c>
      <c r="O104" t="s">
        <v>227</v>
      </c>
      <c r="P104" t="s">
        <v>34</v>
      </c>
      <c r="Q104">
        <v>573.63</v>
      </c>
      <c r="R104">
        <v>32.47</v>
      </c>
      <c r="S104">
        <v>398.81</v>
      </c>
      <c r="T104">
        <v>12.19</v>
      </c>
      <c r="U104">
        <v>39881</v>
      </c>
    </row>
    <row r="105" spans="1:21" x14ac:dyDescent="0.25">
      <c r="A105" t="s">
        <v>226</v>
      </c>
      <c r="B105" t="s">
        <v>22</v>
      </c>
      <c r="C105" t="s">
        <v>23</v>
      </c>
      <c r="D105" t="s">
        <v>24</v>
      </c>
      <c r="E105" t="s">
        <v>25</v>
      </c>
      <c r="F105">
        <v>4</v>
      </c>
      <c r="G105" t="s">
        <v>223</v>
      </c>
      <c r="H105" s="2">
        <v>28</v>
      </c>
      <c r="I105" t="s">
        <v>27</v>
      </c>
      <c r="J105">
        <v>100</v>
      </c>
      <c r="K105" t="s">
        <v>223</v>
      </c>
      <c r="L105">
        <v>28</v>
      </c>
      <c r="M105" t="s">
        <v>28</v>
      </c>
      <c r="N105" t="s">
        <v>29</v>
      </c>
      <c r="O105" t="s">
        <v>227</v>
      </c>
      <c r="P105" t="s">
        <v>41</v>
      </c>
      <c r="Q105">
        <v>581.41999999999996</v>
      </c>
      <c r="R105">
        <v>32.909999999999997</v>
      </c>
      <c r="S105">
        <v>404.23</v>
      </c>
      <c r="T105">
        <v>12.23</v>
      </c>
      <c r="U105">
        <v>40423</v>
      </c>
    </row>
    <row r="106" spans="1:21" x14ac:dyDescent="0.25">
      <c r="A106" t="s">
        <v>228</v>
      </c>
      <c r="B106" t="s">
        <v>22</v>
      </c>
      <c r="C106" t="s">
        <v>23</v>
      </c>
      <c r="D106" t="s">
        <v>24</v>
      </c>
      <c r="E106" t="s">
        <v>25</v>
      </c>
      <c r="F106">
        <v>3</v>
      </c>
      <c r="G106" t="s">
        <v>223</v>
      </c>
      <c r="H106" s="2">
        <v>28</v>
      </c>
      <c r="I106" t="s">
        <v>27</v>
      </c>
      <c r="J106">
        <v>100</v>
      </c>
      <c r="K106" t="s">
        <v>223</v>
      </c>
      <c r="L106">
        <v>28</v>
      </c>
      <c r="M106" t="s">
        <v>28</v>
      </c>
      <c r="N106" t="s">
        <v>29</v>
      </c>
      <c r="O106" t="s">
        <v>227</v>
      </c>
      <c r="P106" t="s">
        <v>31</v>
      </c>
      <c r="Q106">
        <v>640.69000000000005</v>
      </c>
      <c r="R106">
        <v>36.26</v>
      </c>
      <c r="S106">
        <v>445.44</v>
      </c>
      <c r="T106">
        <v>12.38</v>
      </c>
      <c r="U106">
        <v>44544</v>
      </c>
    </row>
    <row r="107" spans="1:21" x14ac:dyDescent="0.25">
      <c r="A107" t="s">
        <v>228</v>
      </c>
      <c r="B107" t="s">
        <v>22</v>
      </c>
      <c r="C107" t="s">
        <v>23</v>
      </c>
      <c r="D107" t="s">
        <v>24</v>
      </c>
      <c r="E107" t="s">
        <v>25</v>
      </c>
      <c r="F107">
        <v>4</v>
      </c>
      <c r="G107" t="s">
        <v>223</v>
      </c>
      <c r="H107" s="2">
        <v>28</v>
      </c>
      <c r="I107" t="s">
        <v>27</v>
      </c>
      <c r="J107">
        <v>100</v>
      </c>
      <c r="K107" t="s">
        <v>223</v>
      </c>
      <c r="L107">
        <v>28</v>
      </c>
      <c r="M107" t="s">
        <v>28</v>
      </c>
      <c r="N107" t="s">
        <v>29</v>
      </c>
      <c r="O107" t="s">
        <v>227</v>
      </c>
      <c r="P107" t="s">
        <v>41</v>
      </c>
      <c r="Q107">
        <v>630.36</v>
      </c>
      <c r="R107">
        <v>35.68</v>
      </c>
      <c r="S107">
        <v>438.25</v>
      </c>
      <c r="T107">
        <v>12.23</v>
      </c>
      <c r="U107">
        <v>43825</v>
      </c>
    </row>
    <row r="108" spans="1:21" x14ac:dyDescent="0.25">
      <c r="A108" t="s">
        <v>229</v>
      </c>
      <c r="B108" t="s">
        <v>22</v>
      </c>
      <c r="C108" t="s">
        <v>23</v>
      </c>
      <c r="D108" t="s">
        <v>24</v>
      </c>
      <c r="E108" t="s">
        <v>25</v>
      </c>
      <c r="F108">
        <v>3</v>
      </c>
      <c r="G108" t="s">
        <v>230</v>
      </c>
      <c r="H108" s="2">
        <v>28</v>
      </c>
      <c r="I108" t="s">
        <v>27</v>
      </c>
      <c r="J108">
        <v>100</v>
      </c>
      <c r="K108" t="s">
        <v>230</v>
      </c>
      <c r="L108">
        <v>28</v>
      </c>
      <c r="M108" t="s">
        <v>28</v>
      </c>
      <c r="N108" t="s">
        <v>29</v>
      </c>
      <c r="O108" t="s">
        <v>231</v>
      </c>
      <c r="P108" t="s">
        <v>34</v>
      </c>
      <c r="Q108">
        <v>581.79999999999995</v>
      </c>
      <c r="R108">
        <v>32.92</v>
      </c>
      <c r="S108">
        <v>404.49</v>
      </c>
      <c r="T108">
        <v>12.15</v>
      </c>
      <c r="U108">
        <v>40449</v>
      </c>
    </row>
    <row r="109" spans="1:21" x14ac:dyDescent="0.25">
      <c r="A109" t="s">
        <v>229</v>
      </c>
      <c r="B109" t="s">
        <v>22</v>
      </c>
      <c r="C109" t="s">
        <v>23</v>
      </c>
      <c r="D109" t="s">
        <v>24</v>
      </c>
      <c r="E109" t="s">
        <v>25</v>
      </c>
      <c r="F109">
        <v>4</v>
      </c>
      <c r="G109" t="s">
        <v>230</v>
      </c>
      <c r="H109" s="2">
        <v>28</v>
      </c>
      <c r="I109" t="s">
        <v>27</v>
      </c>
      <c r="J109">
        <v>100</v>
      </c>
      <c r="K109" t="s">
        <v>230</v>
      </c>
      <c r="L109">
        <v>28</v>
      </c>
      <c r="M109" t="s">
        <v>28</v>
      </c>
      <c r="N109" t="s">
        <v>29</v>
      </c>
      <c r="O109" t="s">
        <v>231</v>
      </c>
      <c r="P109" t="s">
        <v>41</v>
      </c>
      <c r="Q109">
        <v>573.20000000000005</v>
      </c>
      <c r="R109">
        <v>32.44</v>
      </c>
      <c r="S109">
        <v>398.51</v>
      </c>
      <c r="T109">
        <v>12.42</v>
      </c>
      <c r="U109">
        <v>39851</v>
      </c>
    </row>
    <row r="110" spans="1:21" x14ac:dyDescent="0.25">
      <c r="A110" t="s">
        <v>232</v>
      </c>
      <c r="B110" t="s">
        <v>22</v>
      </c>
      <c r="C110" t="s">
        <v>23</v>
      </c>
      <c r="D110" t="s">
        <v>24</v>
      </c>
      <c r="E110" t="s">
        <v>25</v>
      </c>
      <c r="F110">
        <v>3</v>
      </c>
      <c r="G110" t="s">
        <v>230</v>
      </c>
      <c r="H110" s="2">
        <v>28</v>
      </c>
      <c r="I110" t="s">
        <v>27</v>
      </c>
      <c r="J110">
        <v>100</v>
      </c>
      <c r="K110" t="s">
        <v>230</v>
      </c>
      <c r="L110">
        <v>28</v>
      </c>
      <c r="M110" t="s">
        <v>28</v>
      </c>
      <c r="N110" t="s">
        <v>29</v>
      </c>
      <c r="O110" t="s">
        <v>231</v>
      </c>
      <c r="P110" t="s">
        <v>33</v>
      </c>
      <c r="Q110">
        <v>598.25</v>
      </c>
      <c r="R110">
        <v>33.86</v>
      </c>
      <c r="S110">
        <v>415.93</v>
      </c>
      <c r="T110">
        <v>12.13</v>
      </c>
      <c r="U110">
        <v>41593</v>
      </c>
    </row>
    <row r="111" spans="1:21" x14ac:dyDescent="0.25">
      <c r="A111" t="s">
        <v>232</v>
      </c>
      <c r="B111" t="s">
        <v>22</v>
      </c>
      <c r="C111" t="s">
        <v>23</v>
      </c>
      <c r="D111" t="s">
        <v>24</v>
      </c>
      <c r="E111" t="s">
        <v>25</v>
      </c>
      <c r="F111">
        <v>4</v>
      </c>
      <c r="G111" t="s">
        <v>230</v>
      </c>
      <c r="H111" s="2">
        <v>28</v>
      </c>
      <c r="I111" t="s">
        <v>27</v>
      </c>
      <c r="J111">
        <v>100</v>
      </c>
      <c r="K111" t="s">
        <v>230</v>
      </c>
      <c r="L111">
        <v>28</v>
      </c>
      <c r="M111" t="s">
        <v>28</v>
      </c>
      <c r="N111" t="s">
        <v>29</v>
      </c>
      <c r="O111" t="s">
        <v>231</v>
      </c>
      <c r="P111" t="s">
        <v>31</v>
      </c>
      <c r="Q111">
        <v>605.99</v>
      </c>
      <c r="R111">
        <v>34.299999999999997</v>
      </c>
      <c r="S111">
        <v>421.31</v>
      </c>
      <c r="T111">
        <v>12.16</v>
      </c>
      <c r="U111">
        <v>42131</v>
      </c>
    </row>
    <row r="112" spans="1:21" x14ac:dyDescent="0.25">
      <c r="A112" t="s">
        <v>233</v>
      </c>
      <c r="B112" t="s">
        <v>22</v>
      </c>
      <c r="C112" t="s">
        <v>23</v>
      </c>
      <c r="D112" t="s">
        <v>24</v>
      </c>
      <c r="E112" t="s">
        <v>25</v>
      </c>
      <c r="F112">
        <v>3</v>
      </c>
      <c r="G112" t="s">
        <v>230</v>
      </c>
      <c r="H112" s="2">
        <v>28</v>
      </c>
      <c r="I112" t="s">
        <v>27</v>
      </c>
      <c r="J112">
        <v>100</v>
      </c>
      <c r="K112" t="s">
        <v>230</v>
      </c>
      <c r="L112">
        <v>28</v>
      </c>
      <c r="M112" t="s">
        <v>28</v>
      </c>
      <c r="N112" t="s">
        <v>29</v>
      </c>
      <c r="O112" t="s">
        <v>234</v>
      </c>
      <c r="P112" t="s">
        <v>34</v>
      </c>
      <c r="Q112">
        <v>571.02</v>
      </c>
      <c r="R112">
        <v>32.31</v>
      </c>
      <c r="S112">
        <v>397</v>
      </c>
      <c r="T112">
        <v>12.34</v>
      </c>
      <c r="U112">
        <v>39700</v>
      </c>
    </row>
    <row r="113" spans="1:21" x14ac:dyDescent="0.25">
      <c r="A113" t="s">
        <v>233</v>
      </c>
      <c r="B113" t="s">
        <v>22</v>
      </c>
      <c r="C113" t="s">
        <v>23</v>
      </c>
      <c r="D113" t="s">
        <v>24</v>
      </c>
      <c r="E113" t="s">
        <v>25</v>
      </c>
      <c r="F113">
        <v>4</v>
      </c>
      <c r="G113" t="s">
        <v>230</v>
      </c>
      <c r="H113" s="2">
        <v>28</v>
      </c>
      <c r="I113" t="s">
        <v>27</v>
      </c>
      <c r="J113">
        <v>100</v>
      </c>
      <c r="K113" t="s">
        <v>230</v>
      </c>
      <c r="L113">
        <v>28</v>
      </c>
      <c r="M113" t="s">
        <v>28</v>
      </c>
      <c r="N113" t="s">
        <v>29</v>
      </c>
      <c r="O113" t="s">
        <v>234</v>
      </c>
      <c r="P113" t="s">
        <v>41</v>
      </c>
      <c r="Q113">
        <v>655.63</v>
      </c>
      <c r="R113">
        <v>37.11</v>
      </c>
      <c r="S113">
        <v>455.82</v>
      </c>
      <c r="T113">
        <v>12.46</v>
      </c>
      <c r="U113">
        <v>45582</v>
      </c>
    </row>
    <row r="114" spans="1:21" x14ac:dyDescent="0.25">
      <c r="A114" t="s">
        <v>235</v>
      </c>
      <c r="B114" t="s">
        <v>22</v>
      </c>
      <c r="C114" t="s">
        <v>23</v>
      </c>
      <c r="D114" t="s">
        <v>24</v>
      </c>
      <c r="E114" t="s">
        <v>25</v>
      </c>
      <c r="F114">
        <v>3</v>
      </c>
      <c r="G114" t="s">
        <v>230</v>
      </c>
      <c r="H114" s="2">
        <v>28</v>
      </c>
      <c r="I114" t="s">
        <v>27</v>
      </c>
      <c r="J114">
        <v>100</v>
      </c>
      <c r="K114" t="s">
        <v>230</v>
      </c>
      <c r="L114">
        <v>28</v>
      </c>
      <c r="M114" t="s">
        <v>28</v>
      </c>
      <c r="N114" t="s">
        <v>29</v>
      </c>
      <c r="O114" t="s">
        <v>234</v>
      </c>
      <c r="P114" t="s">
        <v>43</v>
      </c>
      <c r="Q114">
        <v>581.35</v>
      </c>
      <c r="R114">
        <v>32.909999999999997</v>
      </c>
      <c r="S114">
        <v>404.18</v>
      </c>
      <c r="T114">
        <v>12.2</v>
      </c>
      <c r="U114">
        <v>40418</v>
      </c>
    </row>
    <row r="115" spans="1:21" x14ac:dyDescent="0.25">
      <c r="A115" t="s">
        <v>235</v>
      </c>
      <c r="B115" t="s">
        <v>22</v>
      </c>
      <c r="C115" t="s">
        <v>23</v>
      </c>
      <c r="D115" t="s">
        <v>24</v>
      </c>
      <c r="E115" t="s">
        <v>25</v>
      </c>
      <c r="F115">
        <v>4</v>
      </c>
      <c r="G115" t="s">
        <v>230</v>
      </c>
      <c r="H115" s="2">
        <v>28</v>
      </c>
      <c r="I115" t="s">
        <v>27</v>
      </c>
      <c r="J115">
        <v>100</v>
      </c>
      <c r="K115" t="s">
        <v>230</v>
      </c>
      <c r="L115">
        <v>28</v>
      </c>
      <c r="M115" t="s">
        <v>28</v>
      </c>
      <c r="N115" t="s">
        <v>29</v>
      </c>
      <c r="O115" t="s">
        <v>234</v>
      </c>
      <c r="P115" t="s">
        <v>41</v>
      </c>
      <c r="Q115">
        <v>593.07000000000005</v>
      </c>
      <c r="R115">
        <v>33.57</v>
      </c>
      <c r="S115">
        <v>412.33</v>
      </c>
      <c r="T115">
        <v>12.14</v>
      </c>
      <c r="U115">
        <v>41233</v>
      </c>
    </row>
    <row r="116" spans="1:21" x14ac:dyDescent="0.25">
      <c r="A116" t="s">
        <v>236</v>
      </c>
      <c r="B116" t="s">
        <v>22</v>
      </c>
      <c r="C116" t="s">
        <v>23</v>
      </c>
      <c r="D116" t="s">
        <v>24</v>
      </c>
      <c r="E116" t="s">
        <v>25</v>
      </c>
      <c r="F116">
        <v>3</v>
      </c>
      <c r="G116" t="s">
        <v>230</v>
      </c>
      <c r="H116" s="2">
        <v>28</v>
      </c>
      <c r="I116" t="s">
        <v>27</v>
      </c>
      <c r="J116">
        <v>100</v>
      </c>
      <c r="K116" t="s">
        <v>230</v>
      </c>
      <c r="L116">
        <v>28</v>
      </c>
      <c r="M116" t="s">
        <v>28</v>
      </c>
      <c r="N116" t="s">
        <v>29</v>
      </c>
      <c r="O116" t="s">
        <v>237</v>
      </c>
      <c r="P116" t="s">
        <v>41</v>
      </c>
      <c r="Q116">
        <v>652.54999999999995</v>
      </c>
      <c r="R116">
        <v>36.94</v>
      </c>
      <c r="S116">
        <v>453.68</v>
      </c>
      <c r="T116">
        <v>12.48</v>
      </c>
      <c r="U116">
        <v>45368</v>
      </c>
    </row>
    <row r="117" spans="1:21" x14ac:dyDescent="0.25">
      <c r="A117" t="s">
        <v>236</v>
      </c>
      <c r="B117" t="s">
        <v>22</v>
      </c>
      <c r="C117" t="s">
        <v>23</v>
      </c>
      <c r="D117" t="s">
        <v>24</v>
      </c>
      <c r="E117" t="s">
        <v>25</v>
      </c>
      <c r="F117">
        <v>4</v>
      </c>
      <c r="G117" t="s">
        <v>230</v>
      </c>
      <c r="H117" s="2">
        <v>28</v>
      </c>
      <c r="I117" t="s">
        <v>27</v>
      </c>
      <c r="J117">
        <v>100</v>
      </c>
      <c r="K117" t="s">
        <v>230</v>
      </c>
      <c r="L117">
        <v>28</v>
      </c>
      <c r="M117" t="s">
        <v>28</v>
      </c>
      <c r="N117" t="s">
        <v>29</v>
      </c>
      <c r="O117" t="s">
        <v>237</v>
      </c>
      <c r="P117" t="s">
        <v>33</v>
      </c>
      <c r="Q117">
        <v>643.54999999999995</v>
      </c>
      <c r="R117">
        <v>36.43</v>
      </c>
      <c r="S117">
        <v>447.42</v>
      </c>
      <c r="T117">
        <v>12.37</v>
      </c>
      <c r="U117">
        <v>44742</v>
      </c>
    </row>
    <row r="118" spans="1:21" x14ac:dyDescent="0.25">
      <c r="A118" t="s">
        <v>238</v>
      </c>
      <c r="B118" t="s">
        <v>22</v>
      </c>
      <c r="C118" t="s">
        <v>23</v>
      </c>
      <c r="D118" t="s">
        <v>24</v>
      </c>
      <c r="E118" t="s">
        <v>25</v>
      </c>
      <c r="F118">
        <v>3</v>
      </c>
      <c r="G118" t="s">
        <v>230</v>
      </c>
      <c r="H118" s="2">
        <v>28</v>
      </c>
      <c r="I118" t="s">
        <v>27</v>
      </c>
      <c r="J118">
        <v>100</v>
      </c>
      <c r="K118" t="s">
        <v>230</v>
      </c>
      <c r="L118">
        <v>28</v>
      </c>
      <c r="M118" t="s">
        <v>28</v>
      </c>
      <c r="N118" t="s">
        <v>29</v>
      </c>
      <c r="O118" t="s">
        <v>237</v>
      </c>
      <c r="P118" t="s">
        <v>34</v>
      </c>
      <c r="Q118">
        <v>561.29999999999995</v>
      </c>
      <c r="R118">
        <v>31.77</v>
      </c>
      <c r="S118">
        <v>390.24</v>
      </c>
      <c r="T118">
        <v>12.13</v>
      </c>
      <c r="U118">
        <v>39024</v>
      </c>
    </row>
    <row r="119" spans="1:21" x14ac:dyDescent="0.25">
      <c r="A119" t="s">
        <v>238</v>
      </c>
      <c r="B119" t="s">
        <v>22</v>
      </c>
      <c r="C119" t="s">
        <v>23</v>
      </c>
      <c r="D119" t="s">
        <v>24</v>
      </c>
      <c r="E119" t="s">
        <v>25</v>
      </c>
      <c r="F119">
        <v>4</v>
      </c>
      <c r="G119" t="s">
        <v>230</v>
      </c>
      <c r="H119" s="2">
        <v>28</v>
      </c>
      <c r="I119" t="s">
        <v>27</v>
      </c>
      <c r="J119">
        <v>100</v>
      </c>
      <c r="K119" t="s">
        <v>230</v>
      </c>
      <c r="L119">
        <v>28</v>
      </c>
      <c r="M119" t="s">
        <v>28</v>
      </c>
      <c r="N119" t="s">
        <v>29</v>
      </c>
      <c r="O119" t="s">
        <v>237</v>
      </c>
      <c r="P119" t="s">
        <v>41</v>
      </c>
      <c r="Q119">
        <v>569.74</v>
      </c>
      <c r="R119">
        <v>32.25</v>
      </c>
      <c r="S119">
        <v>396.11</v>
      </c>
      <c r="T119">
        <v>12.22</v>
      </c>
      <c r="U119">
        <v>39611</v>
      </c>
    </row>
    <row r="120" spans="1:21" x14ac:dyDescent="0.25">
      <c r="A120" t="s">
        <v>263</v>
      </c>
      <c r="B120" t="s">
        <v>22</v>
      </c>
      <c r="C120" t="s">
        <v>23</v>
      </c>
      <c r="D120" t="s">
        <v>24</v>
      </c>
      <c r="E120" t="s">
        <v>25</v>
      </c>
      <c r="F120">
        <v>3</v>
      </c>
      <c r="G120" t="s">
        <v>257</v>
      </c>
      <c r="H120" s="2">
        <v>28</v>
      </c>
      <c r="I120" t="s">
        <v>27</v>
      </c>
      <c r="J120">
        <v>100</v>
      </c>
      <c r="K120" t="s">
        <v>257</v>
      </c>
      <c r="L120">
        <v>28</v>
      </c>
      <c r="M120" t="s">
        <v>28</v>
      </c>
      <c r="N120" t="s">
        <v>29</v>
      </c>
      <c r="O120" t="s">
        <v>264</v>
      </c>
      <c r="P120" t="s">
        <v>41</v>
      </c>
      <c r="Q120">
        <v>510</v>
      </c>
      <c r="R120">
        <v>28.86</v>
      </c>
      <c r="S120">
        <v>354.57</v>
      </c>
      <c r="T120">
        <v>12.36</v>
      </c>
      <c r="U120">
        <v>35457</v>
      </c>
    </row>
    <row r="121" spans="1:21" x14ac:dyDescent="0.25">
      <c r="A121" t="s">
        <v>263</v>
      </c>
      <c r="B121" t="s">
        <v>22</v>
      </c>
      <c r="C121" t="s">
        <v>23</v>
      </c>
      <c r="D121" t="s">
        <v>24</v>
      </c>
      <c r="E121" t="s">
        <v>25</v>
      </c>
      <c r="F121">
        <v>4</v>
      </c>
      <c r="G121" t="s">
        <v>257</v>
      </c>
      <c r="H121" s="2">
        <v>28</v>
      </c>
      <c r="I121" t="s">
        <v>27</v>
      </c>
      <c r="J121">
        <v>100</v>
      </c>
      <c r="K121" t="s">
        <v>257</v>
      </c>
      <c r="L121">
        <v>28</v>
      </c>
      <c r="M121" t="s">
        <v>28</v>
      </c>
      <c r="N121" t="s">
        <v>29</v>
      </c>
      <c r="O121" t="s">
        <v>264</v>
      </c>
      <c r="P121" t="s">
        <v>41</v>
      </c>
      <c r="Q121">
        <v>507.11</v>
      </c>
      <c r="R121">
        <v>28.7</v>
      </c>
      <c r="S121">
        <v>352.57</v>
      </c>
      <c r="T121">
        <v>12.42</v>
      </c>
      <c r="U121">
        <v>35257</v>
      </c>
    </row>
    <row r="122" spans="1:21" x14ac:dyDescent="0.25">
      <c r="A122" t="s">
        <v>265</v>
      </c>
      <c r="B122" t="s">
        <v>22</v>
      </c>
      <c r="C122" t="s">
        <v>23</v>
      </c>
      <c r="D122" t="s">
        <v>24</v>
      </c>
      <c r="E122" t="s">
        <v>25</v>
      </c>
      <c r="F122">
        <v>3</v>
      </c>
      <c r="G122" t="s">
        <v>257</v>
      </c>
      <c r="H122" s="2">
        <v>28</v>
      </c>
      <c r="I122" t="s">
        <v>27</v>
      </c>
      <c r="J122">
        <v>100</v>
      </c>
      <c r="K122" t="s">
        <v>257</v>
      </c>
      <c r="L122">
        <v>28</v>
      </c>
      <c r="M122" t="s">
        <v>28</v>
      </c>
      <c r="N122" t="s">
        <v>29</v>
      </c>
      <c r="O122" t="s">
        <v>264</v>
      </c>
      <c r="P122" t="s">
        <v>43</v>
      </c>
      <c r="Q122">
        <v>614.02</v>
      </c>
      <c r="R122">
        <v>34.75</v>
      </c>
      <c r="S122">
        <v>426.89</v>
      </c>
      <c r="T122">
        <v>12.35</v>
      </c>
      <c r="U122">
        <v>42689</v>
      </c>
    </row>
    <row r="123" spans="1:21" x14ac:dyDescent="0.25">
      <c r="A123" t="s">
        <v>265</v>
      </c>
      <c r="B123" t="s">
        <v>22</v>
      </c>
      <c r="C123" t="s">
        <v>23</v>
      </c>
      <c r="D123" t="s">
        <v>24</v>
      </c>
      <c r="E123" t="s">
        <v>25</v>
      </c>
      <c r="F123">
        <v>4</v>
      </c>
      <c r="G123" t="s">
        <v>257</v>
      </c>
      <c r="H123" s="2">
        <v>28</v>
      </c>
      <c r="I123" t="s">
        <v>27</v>
      </c>
      <c r="J123">
        <v>100</v>
      </c>
      <c r="K123" t="s">
        <v>257</v>
      </c>
      <c r="L123">
        <v>28</v>
      </c>
      <c r="M123" t="s">
        <v>28</v>
      </c>
      <c r="N123" t="s">
        <v>29</v>
      </c>
      <c r="O123" t="s">
        <v>264</v>
      </c>
      <c r="P123" t="s">
        <v>43</v>
      </c>
      <c r="Q123">
        <v>607.92999999999995</v>
      </c>
      <c r="R123">
        <v>34.409999999999997</v>
      </c>
      <c r="S123">
        <v>422.66</v>
      </c>
      <c r="T123">
        <v>12.24</v>
      </c>
      <c r="U123">
        <v>42266</v>
      </c>
    </row>
    <row r="124" spans="1:21" x14ac:dyDescent="0.25">
      <c r="A124" t="s">
        <v>266</v>
      </c>
      <c r="B124" t="s">
        <v>22</v>
      </c>
      <c r="C124" t="s">
        <v>23</v>
      </c>
      <c r="D124" t="s">
        <v>24</v>
      </c>
      <c r="E124" t="s">
        <v>25</v>
      </c>
      <c r="F124">
        <v>3</v>
      </c>
      <c r="G124" t="s">
        <v>257</v>
      </c>
      <c r="H124" s="2">
        <v>28</v>
      </c>
      <c r="I124" t="s">
        <v>27</v>
      </c>
      <c r="J124">
        <v>100</v>
      </c>
      <c r="K124" t="s">
        <v>257</v>
      </c>
      <c r="L124">
        <v>28</v>
      </c>
      <c r="M124" t="s">
        <v>28</v>
      </c>
      <c r="N124" t="s">
        <v>29</v>
      </c>
      <c r="O124" t="s">
        <v>264</v>
      </c>
      <c r="P124" t="s">
        <v>33</v>
      </c>
      <c r="Q124">
        <v>570.16999999999996</v>
      </c>
      <c r="R124">
        <v>32.270000000000003</v>
      </c>
      <c r="S124">
        <v>396.41</v>
      </c>
      <c r="T124">
        <v>12.23</v>
      </c>
      <c r="U124">
        <v>39641</v>
      </c>
    </row>
    <row r="125" spans="1:21" x14ac:dyDescent="0.25">
      <c r="A125" t="s">
        <v>266</v>
      </c>
      <c r="B125" t="s">
        <v>22</v>
      </c>
      <c r="C125" t="s">
        <v>23</v>
      </c>
      <c r="D125" t="s">
        <v>24</v>
      </c>
      <c r="E125" t="s">
        <v>25</v>
      </c>
      <c r="F125">
        <v>4</v>
      </c>
      <c r="G125" t="s">
        <v>257</v>
      </c>
      <c r="H125" s="2">
        <v>28</v>
      </c>
      <c r="I125" t="s">
        <v>27</v>
      </c>
      <c r="J125">
        <v>100</v>
      </c>
      <c r="K125" t="s">
        <v>257</v>
      </c>
      <c r="L125">
        <v>28</v>
      </c>
      <c r="M125" t="s">
        <v>28</v>
      </c>
      <c r="N125" t="s">
        <v>29</v>
      </c>
      <c r="O125" t="s">
        <v>264</v>
      </c>
      <c r="P125" t="s">
        <v>41</v>
      </c>
      <c r="Q125">
        <v>563.51</v>
      </c>
      <c r="R125">
        <v>31.89</v>
      </c>
      <c r="S125">
        <v>391.78</v>
      </c>
      <c r="T125">
        <v>12.48</v>
      </c>
      <c r="U125">
        <v>39178</v>
      </c>
    </row>
    <row r="126" spans="1:21" x14ac:dyDescent="0.25">
      <c r="A126" t="s">
        <v>267</v>
      </c>
      <c r="B126" t="s">
        <v>22</v>
      </c>
      <c r="C126" t="s">
        <v>23</v>
      </c>
      <c r="D126" t="s">
        <v>24</v>
      </c>
      <c r="E126" t="s">
        <v>25</v>
      </c>
      <c r="F126">
        <v>3</v>
      </c>
      <c r="G126" t="s">
        <v>257</v>
      </c>
      <c r="H126" s="2">
        <v>28</v>
      </c>
      <c r="I126" t="s">
        <v>27</v>
      </c>
      <c r="J126">
        <v>100</v>
      </c>
      <c r="K126" t="s">
        <v>257</v>
      </c>
      <c r="L126">
        <v>28</v>
      </c>
      <c r="M126" t="s">
        <v>28</v>
      </c>
      <c r="N126" t="s">
        <v>29</v>
      </c>
      <c r="O126" t="s">
        <v>264</v>
      </c>
      <c r="P126" t="s">
        <v>43</v>
      </c>
      <c r="Q126">
        <v>590.92999999999995</v>
      </c>
      <c r="R126">
        <v>33.450000000000003</v>
      </c>
      <c r="S126">
        <v>410.84</v>
      </c>
      <c r="T126">
        <v>12.2</v>
      </c>
      <c r="U126">
        <v>41084</v>
      </c>
    </row>
    <row r="127" spans="1:21" x14ac:dyDescent="0.25">
      <c r="A127" t="s">
        <v>267</v>
      </c>
      <c r="B127" t="s">
        <v>22</v>
      </c>
      <c r="C127" t="s">
        <v>23</v>
      </c>
      <c r="D127" t="s">
        <v>24</v>
      </c>
      <c r="E127" t="s">
        <v>25</v>
      </c>
      <c r="F127">
        <v>4</v>
      </c>
      <c r="G127" t="s">
        <v>257</v>
      </c>
      <c r="H127" s="2">
        <v>28</v>
      </c>
      <c r="I127" t="s">
        <v>27</v>
      </c>
      <c r="J127">
        <v>100</v>
      </c>
      <c r="K127" t="s">
        <v>257</v>
      </c>
      <c r="L127">
        <v>28</v>
      </c>
      <c r="M127" t="s">
        <v>28</v>
      </c>
      <c r="N127" t="s">
        <v>29</v>
      </c>
      <c r="O127" t="s">
        <v>264</v>
      </c>
      <c r="P127" t="s">
        <v>34</v>
      </c>
      <c r="Q127">
        <v>602.34</v>
      </c>
      <c r="R127">
        <v>34.090000000000003</v>
      </c>
      <c r="S127">
        <v>418.77</v>
      </c>
      <c r="T127">
        <v>12.15</v>
      </c>
      <c r="U127">
        <v>41877</v>
      </c>
    </row>
    <row r="128" spans="1:21" x14ac:dyDescent="0.25">
      <c r="A128" t="s">
        <v>278</v>
      </c>
      <c r="B128" t="s">
        <v>22</v>
      </c>
      <c r="C128" t="s">
        <v>23</v>
      </c>
      <c r="D128" t="s">
        <v>24</v>
      </c>
      <c r="E128" t="s">
        <v>25</v>
      </c>
      <c r="F128">
        <v>3</v>
      </c>
      <c r="G128" t="s">
        <v>279</v>
      </c>
      <c r="H128" s="2">
        <v>28</v>
      </c>
      <c r="I128" t="s">
        <v>27</v>
      </c>
      <c r="J128">
        <v>100</v>
      </c>
      <c r="K128" t="s">
        <v>279</v>
      </c>
      <c r="L128">
        <v>28</v>
      </c>
      <c r="M128" t="s">
        <v>28</v>
      </c>
      <c r="N128" t="s">
        <v>29</v>
      </c>
      <c r="O128" t="s">
        <v>280</v>
      </c>
      <c r="P128" t="s">
        <v>31</v>
      </c>
      <c r="Q128">
        <v>565.38</v>
      </c>
      <c r="R128">
        <v>32</v>
      </c>
      <c r="S128">
        <v>393.08</v>
      </c>
      <c r="T128">
        <v>12.23</v>
      </c>
      <c r="U128">
        <v>39308</v>
      </c>
    </row>
    <row r="129" spans="1:21" x14ac:dyDescent="0.25">
      <c r="A129" t="s">
        <v>278</v>
      </c>
      <c r="B129" t="s">
        <v>22</v>
      </c>
      <c r="C129" t="s">
        <v>23</v>
      </c>
      <c r="D129" t="s">
        <v>24</v>
      </c>
      <c r="E129" t="s">
        <v>25</v>
      </c>
      <c r="F129">
        <v>4</v>
      </c>
      <c r="G129" t="s">
        <v>279</v>
      </c>
      <c r="H129" s="2">
        <v>28</v>
      </c>
      <c r="I129" t="s">
        <v>27</v>
      </c>
      <c r="J129">
        <v>100</v>
      </c>
      <c r="K129" t="s">
        <v>279</v>
      </c>
      <c r="L129">
        <v>28</v>
      </c>
      <c r="M129" t="s">
        <v>28</v>
      </c>
      <c r="N129" t="s">
        <v>29</v>
      </c>
      <c r="O129" t="s">
        <v>280</v>
      </c>
      <c r="P129" t="s">
        <v>31</v>
      </c>
      <c r="Q129">
        <v>578.94000000000005</v>
      </c>
      <c r="R129">
        <v>32.770000000000003</v>
      </c>
      <c r="S129">
        <v>402.5</v>
      </c>
      <c r="T129">
        <v>12.47</v>
      </c>
      <c r="U129">
        <v>40250</v>
      </c>
    </row>
    <row r="130" spans="1:21" x14ac:dyDescent="0.25">
      <c r="A130" t="s">
        <v>281</v>
      </c>
      <c r="B130" t="s">
        <v>22</v>
      </c>
      <c r="C130" t="s">
        <v>23</v>
      </c>
      <c r="D130" t="s">
        <v>24</v>
      </c>
      <c r="E130" t="s">
        <v>25</v>
      </c>
      <c r="F130">
        <v>3</v>
      </c>
      <c r="G130" t="s">
        <v>279</v>
      </c>
      <c r="H130" s="2">
        <v>28</v>
      </c>
      <c r="I130" t="s">
        <v>27</v>
      </c>
      <c r="J130">
        <v>100</v>
      </c>
      <c r="K130" t="s">
        <v>279</v>
      </c>
      <c r="L130">
        <v>28</v>
      </c>
      <c r="M130" t="s">
        <v>28</v>
      </c>
      <c r="N130" t="s">
        <v>29</v>
      </c>
      <c r="O130" t="s">
        <v>280</v>
      </c>
      <c r="P130" t="s">
        <v>31</v>
      </c>
      <c r="Q130">
        <v>641.82000000000005</v>
      </c>
      <c r="R130">
        <v>36.33</v>
      </c>
      <c r="S130">
        <v>446.22</v>
      </c>
      <c r="T130">
        <v>12.47</v>
      </c>
      <c r="U130">
        <v>44622</v>
      </c>
    </row>
    <row r="131" spans="1:21" x14ac:dyDescent="0.25">
      <c r="A131" t="s">
        <v>281</v>
      </c>
      <c r="B131" t="s">
        <v>22</v>
      </c>
      <c r="C131" t="s">
        <v>23</v>
      </c>
      <c r="D131" t="s">
        <v>24</v>
      </c>
      <c r="E131" t="s">
        <v>25</v>
      </c>
      <c r="F131">
        <v>4</v>
      </c>
      <c r="G131" t="s">
        <v>279</v>
      </c>
      <c r="H131" s="2">
        <v>28</v>
      </c>
      <c r="I131" t="s">
        <v>27</v>
      </c>
      <c r="J131">
        <v>100</v>
      </c>
      <c r="K131" t="s">
        <v>279</v>
      </c>
      <c r="L131">
        <v>28</v>
      </c>
      <c r="M131" t="s">
        <v>28</v>
      </c>
      <c r="N131" t="s">
        <v>29</v>
      </c>
      <c r="O131" t="s">
        <v>280</v>
      </c>
      <c r="P131" t="s">
        <v>31</v>
      </c>
      <c r="Q131">
        <v>628.32000000000005</v>
      </c>
      <c r="R131">
        <v>35.56</v>
      </c>
      <c r="S131">
        <v>436.84</v>
      </c>
      <c r="T131">
        <v>12.16</v>
      </c>
      <c r="U131">
        <v>43684</v>
      </c>
    </row>
    <row r="132" spans="1:21" x14ac:dyDescent="0.25">
      <c r="A132" t="s">
        <v>282</v>
      </c>
      <c r="B132" t="s">
        <v>22</v>
      </c>
      <c r="C132" t="s">
        <v>23</v>
      </c>
      <c r="D132" t="s">
        <v>24</v>
      </c>
      <c r="E132" t="s">
        <v>25</v>
      </c>
      <c r="F132">
        <v>3</v>
      </c>
      <c r="G132" t="s">
        <v>279</v>
      </c>
      <c r="H132" s="2">
        <v>28</v>
      </c>
      <c r="I132" t="s">
        <v>27</v>
      </c>
      <c r="J132">
        <v>100</v>
      </c>
      <c r="K132" t="s">
        <v>279</v>
      </c>
      <c r="L132">
        <v>28</v>
      </c>
      <c r="M132" t="s">
        <v>28</v>
      </c>
      <c r="N132" t="s">
        <v>29</v>
      </c>
      <c r="O132" t="s">
        <v>283</v>
      </c>
      <c r="P132" t="s">
        <v>31</v>
      </c>
      <c r="Q132">
        <v>508.69</v>
      </c>
      <c r="R132">
        <v>28.79</v>
      </c>
      <c r="S132">
        <v>353.66</v>
      </c>
      <c r="T132">
        <v>12.28</v>
      </c>
      <c r="U132">
        <v>35366</v>
      </c>
    </row>
    <row r="133" spans="1:21" x14ac:dyDescent="0.25">
      <c r="A133" t="s">
        <v>282</v>
      </c>
      <c r="B133" t="s">
        <v>22</v>
      </c>
      <c r="C133" t="s">
        <v>23</v>
      </c>
      <c r="D133" t="s">
        <v>24</v>
      </c>
      <c r="E133" t="s">
        <v>25</v>
      </c>
      <c r="F133">
        <v>4</v>
      </c>
      <c r="G133" t="s">
        <v>279</v>
      </c>
      <c r="H133" s="2">
        <v>28</v>
      </c>
      <c r="I133" t="s">
        <v>27</v>
      </c>
      <c r="J133">
        <v>100</v>
      </c>
      <c r="K133" t="s">
        <v>279</v>
      </c>
      <c r="L133">
        <v>28</v>
      </c>
      <c r="M133" t="s">
        <v>28</v>
      </c>
      <c r="N133" t="s">
        <v>29</v>
      </c>
      <c r="O133" t="s">
        <v>283</v>
      </c>
      <c r="P133" t="s">
        <v>31</v>
      </c>
      <c r="Q133">
        <v>560.26</v>
      </c>
      <c r="R133">
        <v>31.71</v>
      </c>
      <c r="S133">
        <v>389.52</v>
      </c>
      <c r="T133">
        <v>12.28</v>
      </c>
      <c r="U133">
        <v>38952</v>
      </c>
    </row>
    <row r="134" spans="1:21" x14ac:dyDescent="0.25">
      <c r="A134" t="s">
        <v>284</v>
      </c>
      <c r="B134" t="s">
        <v>22</v>
      </c>
      <c r="C134" t="s">
        <v>23</v>
      </c>
      <c r="D134" t="s">
        <v>24</v>
      </c>
      <c r="E134" t="s">
        <v>25</v>
      </c>
      <c r="F134">
        <v>3</v>
      </c>
      <c r="G134" t="s">
        <v>279</v>
      </c>
      <c r="H134" s="2">
        <v>28</v>
      </c>
      <c r="I134" t="s">
        <v>27</v>
      </c>
      <c r="J134">
        <v>100</v>
      </c>
      <c r="K134" t="s">
        <v>279</v>
      </c>
      <c r="L134">
        <v>28</v>
      </c>
      <c r="M134" t="s">
        <v>28</v>
      </c>
      <c r="N134" t="s">
        <v>29</v>
      </c>
      <c r="O134" t="s">
        <v>283</v>
      </c>
      <c r="P134" t="s">
        <v>43</v>
      </c>
      <c r="Q134">
        <v>630.95000000000005</v>
      </c>
      <c r="R134">
        <v>35.71</v>
      </c>
      <c r="S134">
        <v>438.66</v>
      </c>
      <c r="T134">
        <v>12.35</v>
      </c>
      <c r="U134">
        <v>43866</v>
      </c>
    </row>
    <row r="135" spans="1:21" x14ac:dyDescent="0.25">
      <c r="A135" t="s">
        <v>284</v>
      </c>
      <c r="B135" t="s">
        <v>22</v>
      </c>
      <c r="C135" t="s">
        <v>23</v>
      </c>
      <c r="D135" t="s">
        <v>24</v>
      </c>
      <c r="E135" t="s">
        <v>25</v>
      </c>
      <c r="F135">
        <v>4</v>
      </c>
      <c r="G135" t="s">
        <v>279</v>
      </c>
      <c r="H135" s="2">
        <v>28</v>
      </c>
      <c r="I135" t="s">
        <v>27</v>
      </c>
      <c r="J135">
        <v>100</v>
      </c>
      <c r="K135" t="s">
        <v>279</v>
      </c>
      <c r="L135">
        <v>28</v>
      </c>
      <c r="M135" t="s">
        <v>28</v>
      </c>
      <c r="N135" t="s">
        <v>29</v>
      </c>
      <c r="O135" t="s">
        <v>283</v>
      </c>
      <c r="P135" t="s">
        <v>41</v>
      </c>
      <c r="Q135">
        <v>615.48</v>
      </c>
      <c r="R135">
        <v>34.840000000000003</v>
      </c>
      <c r="S135">
        <v>427.91</v>
      </c>
      <c r="T135">
        <v>12.14</v>
      </c>
      <c r="U135">
        <v>42791</v>
      </c>
    </row>
    <row r="136" spans="1:21" x14ac:dyDescent="0.25">
      <c r="A136" t="s">
        <v>285</v>
      </c>
      <c r="B136" t="s">
        <v>22</v>
      </c>
      <c r="C136" t="s">
        <v>23</v>
      </c>
      <c r="D136" t="s">
        <v>24</v>
      </c>
      <c r="E136" t="s">
        <v>25</v>
      </c>
      <c r="F136">
        <v>3</v>
      </c>
      <c r="G136" t="s">
        <v>257</v>
      </c>
      <c r="H136" s="2">
        <v>28</v>
      </c>
      <c r="I136" t="s">
        <v>27</v>
      </c>
      <c r="J136">
        <v>100</v>
      </c>
      <c r="K136" t="s">
        <v>257</v>
      </c>
      <c r="L136">
        <v>28</v>
      </c>
      <c r="M136" t="s">
        <v>28</v>
      </c>
      <c r="N136" t="s">
        <v>29</v>
      </c>
      <c r="O136" t="s">
        <v>264</v>
      </c>
      <c r="P136" t="s">
        <v>34</v>
      </c>
      <c r="Q136">
        <v>628.51</v>
      </c>
      <c r="R136">
        <v>35.57</v>
      </c>
      <c r="S136">
        <v>436.97</v>
      </c>
      <c r="T136">
        <v>12.45</v>
      </c>
      <c r="U136">
        <v>43697</v>
      </c>
    </row>
    <row r="137" spans="1:21" x14ac:dyDescent="0.25">
      <c r="A137" t="s">
        <v>285</v>
      </c>
      <c r="B137" t="s">
        <v>22</v>
      </c>
      <c r="C137" t="s">
        <v>23</v>
      </c>
      <c r="D137" t="s">
        <v>24</v>
      </c>
      <c r="E137" t="s">
        <v>25</v>
      </c>
      <c r="F137">
        <v>4</v>
      </c>
      <c r="G137" t="s">
        <v>257</v>
      </c>
      <c r="H137" s="2">
        <v>28</v>
      </c>
      <c r="I137" t="s">
        <v>27</v>
      </c>
      <c r="J137">
        <v>100</v>
      </c>
      <c r="K137" t="s">
        <v>257</v>
      </c>
      <c r="L137">
        <v>28</v>
      </c>
      <c r="M137" t="s">
        <v>28</v>
      </c>
      <c r="N137" t="s">
        <v>29</v>
      </c>
      <c r="O137" t="s">
        <v>264</v>
      </c>
      <c r="P137" t="s">
        <v>34</v>
      </c>
      <c r="Q137">
        <v>617.15</v>
      </c>
      <c r="R137">
        <v>34.93</v>
      </c>
      <c r="S137">
        <v>429.07</v>
      </c>
      <c r="T137">
        <v>12.37</v>
      </c>
      <c r="U137">
        <v>42907</v>
      </c>
    </row>
    <row r="138" spans="1:21" x14ac:dyDescent="0.25">
      <c r="A138" t="s">
        <v>286</v>
      </c>
      <c r="B138" t="s">
        <v>22</v>
      </c>
      <c r="C138" t="s">
        <v>23</v>
      </c>
      <c r="D138" t="s">
        <v>24</v>
      </c>
      <c r="E138" t="s">
        <v>25</v>
      </c>
      <c r="F138">
        <v>3</v>
      </c>
      <c r="G138" t="s">
        <v>257</v>
      </c>
      <c r="H138" s="2">
        <v>28</v>
      </c>
      <c r="I138" t="s">
        <v>27</v>
      </c>
      <c r="J138">
        <v>100</v>
      </c>
      <c r="K138" t="s">
        <v>257</v>
      </c>
      <c r="L138">
        <v>28</v>
      </c>
      <c r="M138" t="s">
        <v>28</v>
      </c>
      <c r="N138" t="s">
        <v>29</v>
      </c>
      <c r="O138" t="s">
        <v>264</v>
      </c>
      <c r="P138" t="s">
        <v>43</v>
      </c>
      <c r="Q138">
        <v>576.92999999999995</v>
      </c>
      <c r="R138">
        <v>32.65</v>
      </c>
      <c r="S138">
        <v>401.11</v>
      </c>
      <c r="T138">
        <v>12.47</v>
      </c>
      <c r="U138">
        <v>40111</v>
      </c>
    </row>
    <row r="139" spans="1:21" x14ac:dyDescent="0.25">
      <c r="A139" t="s">
        <v>286</v>
      </c>
      <c r="B139" t="s">
        <v>22</v>
      </c>
      <c r="C139" t="s">
        <v>23</v>
      </c>
      <c r="D139" t="s">
        <v>24</v>
      </c>
      <c r="E139" t="s">
        <v>25</v>
      </c>
      <c r="F139">
        <v>4</v>
      </c>
      <c r="G139" t="s">
        <v>257</v>
      </c>
      <c r="H139" s="2">
        <v>28</v>
      </c>
      <c r="I139" t="s">
        <v>27</v>
      </c>
      <c r="J139">
        <v>100</v>
      </c>
      <c r="K139" t="s">
        <v>257</v>
      </c>
      <c r="L139">
        <v>28</v>
      </c>
      <c r="M139" t="s">
        <v>28</v>
      </c>
      <c r="N139" t="s">
        <v>29</v>
      </c>
      <c r="O139" t="s">
        <v>264</v>
      </c>
      <c r="P139" t="s">
        <v>34</v>
      </c>
      <c r="Q139">
        <v>561.11</v>
      </c>
      <c r="R139">
        <v>31.75</v>
      </c>
      <c r="S139">
        <v>390.11</v>
      </c>
      <c r="T139">
        <v>12.48</v>
      </c>
      <c r="U139">
        <v>39011</v>
      </c>
    </row>
    <row r="140" spans="1:21" x14ac:dyDescent="0.25">
      <c r="A140" t="s">
        <v>287</v>
      </c>
      <c r="B140" t="s">
        <v>22</v>
      </c>
      <c r="C140" t="s">
        <v>23</v>
      </c>
      <c r="D140" t="s">
        <v>24</v>
      </c>
      <c r="E140" t="s">
        <v>25</v>
      </c>
      <c r="F140">
        <v>3</v>
      </c>
      <c r="G140" t="s">
        <v>257</v>
      </c>
      <c r="H140" s="2">
        <v>28</v>
      </c>
      <c r="I140" t="s">
        <v>27</v>
      </c>
      <c r="J140">
        <v>100</v>
      </c>
      <c r="K140" t="s">
        <v>257</v>
      </c>
      <c r="L140">
        <v>28</v>
      </c>
      <c r="M140" t="s">
        <v>28</v>
      </c>
      <c r="N140" t="s">
        <v>29</v>
      </c>
      <c r="O140" t="s">
        <v>264</v>
      </c>
      <c r="P140" t="s">
        <v>34</v>
      </c>
      <c r="Q140">
        <v>586.03</v>
      </c>
      <c r="R140">
        <v>33.17</v>
      </c>
      <c r="S140">
        <v>407.43</v>
      </c>
      <c r="T140">
        <v>12.12</v>
      </c>
      <c r="U140">
        <v>40743</v>
      </c>
    </row>
    <row r="141" spans="1:21" x14ac:dyDescent="0.25">
      <c r="A141" t="s">
        <v>287</v>
      </c>
      <c r="B141" t="s">
        <v>22</v>
      </c>
      <c r="C141" t="s">
        <v>23</v>
      </c>
      <c r="D141" t="s">
        <v>24</v>
      </c>
      <c r="E141" t="s">
        <v>25</v>
      </c>
      <c r="F141">
        <v>4</v>
      </c>
      <c r="G141" t="s">
        <v>257</v>
      </c>
      <c r="H141" s="2">
        <v>28</v>
      </c>
      <c r="I141" t="s">
        <v>27</v>
      </c>
      <c r="J141">
        <v>100</v>
      </c>
      <c r="K141" t="s">
        <v>257</v>
      </c>
      <c r="L141">
        <v>28</v>
      </c>
      <c r="M141" t="s">
        <v>28</v>
      </c>
      <c r="N141" t="s">
        <v>29</v>
      </c>
      <c r="O141" t="s">
        <v>264</v>
      </c>
      <c r="P141" t="s">
        <v>41</v>
      </c>
      <c r="Q141">
        <v>599.76</v>
      </c>
      <c r="R141">
        <v>33.950000000000003</v>
      </c>
      <c r="S141">
        <v>416.98</v>
      </c>
      <c r="T141">
        <v>12.2</v>
      </c>
      <c r="U141">
        <v>41698</v>
      </c>
    </row>
    <row r="142" spans="1:21" x14ac:dyDescent="0.25">
      <c r="A142" t="s">
        <v>291</v>
      </c>
      <c r="B142" t="s">
        <v>22</v>
      </c>
      <c r="C142" t="s">
        <v>23</v>
      </c>
      <c r="D142" t="s">
        <v>24</v>
      </c>
      <c r="E142" t="s">
        <v>25</v>
      </c>
      <c r="F142">
        <v>3</v>
      </c>
      <c r="G142" t="s">
        <v>292</v>
      </c>
      <c r="H142" s="2">
        <v>28</v>
      </c>
      <c r="I142" t="s">
        <v>27</v>
      </c>
      <c r="J142">
        <v>100</v>
      </c>
      <c r="K142" t="s">
        <v>292</v>
      </c>
      <c r="L142">
        <v>28</v>
      </c>
      <c r="M142" t="s">
        <v>28</v>
      </c>
      <c r="N142" t="s">
        <v>29</v>
      </c>
      <c r="O142" t="s">
        <v>293</v>
      </c>
      <c r="P142" t="s">
        <v>41</v>
      </c>
      <c r="Q142">
        <v>626.61</v>
      </c>
      <c r="R142">
        <v>35.47</v>
      </c>
      <c r="S142">
        <v>435.65</v>
      </c>
      <c r="T142">
        <v>12.22</v>
      </c>
      <c r="U142">
        <v>43565</v>
      </c>
    </row>
    <row r="143" spans="1:21" x14ac:dyDescent="0.25">
      <c r="A143" t="s">
        <v>291</v>
      </c>
      <c r="B143" t="s">
        <v>22</v>
      </c>
      <c r="C143" t="s">
        <v>23</v>
      </c>
      <c r="D143" t="s">
        <v>24</v>
      </c>
      <c r="E143" t="s">
        <v>25</v>
      </c>
      <c r="F143">
        <v>4</v>
      </c>
      <c r="G143" t="s">
        <v>292</v>
      </c>
      <c r="H143" s="2">
        <v>28</v>
      </c>
      <c r="I143" t="s">
        <v>27</v>
      </c>
      <c r="J143">
        <v>100</v>
      </c>
      <c r="K143" t="s">
        <v>292</v>
      </c>
      <c r="L143">
        <v>28</v>
      </c>
      <c r="M143" t="s">
        <v>28</v>
      </c>
      <c r="N143" t="s">
        <v>29</v>
      </c>
      <c r="O143" t="s">
        <v>293</v>
      </c>
      <c r="P143" t="s">
        <v>34</v>
      </c>
      <c r="Q143">
        <v>616.79</v>
      </c>
      <c r="R143">
        <v>34.909999999999997</v>
      </c>
      <c r="S143">
        <v>428.82</v>
      </c>
      <c r="T143">
        <v>12.29</v>
      </c>
      <c r="U143">
        <v>42882</v>
      </c>
    </row>
    <row r="144" spans="1:21" x14ac:dyDescent="0.25">
      <c r="A144" t="s">
        <v>294</v>
      </c>
      <c r="B144" t="s">
        <v>22</v>
      </c>
      <c r="C144" t="s">
        <v>23</v>
      </c>
      <c r="D144" t="s">
        <v>24</v>
      </c>
      <c r="E144" t="s">
        <v>25</v>
      </c>
      <c r="F144">
        <v>3</v>
      </c>
      <c r="G144" t="s">
        <v>292</v>
      </c>
      <c r="H144" s="2">
        <v>28</v>
      </c>
      <c r="I144" t="s">
        <v>27</v>
      </c>
      <c r="J144">
        <v>100</v>
      </c>
      <c r="K144" t="s">
        <v>292</v>
      </c>
      <c r="L144">
        <v>28</v>
      </c>
      <c r="M144" t="s">
        <v>28</v>
      </c>
      <c r="N144" t="s">
        <v>29</v>
      </c>
      <c r="O144" t="s">
        <v>293</v>
      </c>
      <c r="P144" t="s">
        <v>41</v>
      </c>
      <c r="Q144">
        <v>580.76</v>
      </c>
      <c r="R144">
        <v>32.869999999999997</v>
      </c>
      <c r="S144">
        <v>403.77</v>
      </c>
      <c r="T144">
        <v>12.2</v>
      </c>
      <c r="U144">
        <v>40377</v>
      </c>
    </row>
    <row r="145" spans="1:21" x14ac:dyDescent="0.25">
      <c r="A145" t="s">
        <v>294</v>
      </c>
      <c r="B145" t="s">
        <v>22</v>
      </c>
      <c r="C145" t="s">
        <v>23</v>
      </c>
      <c r="D145" t="s">
        <v>24</v>
      </c>
      <c r="E145" t="s">
        <v>25</v>
      </c>
      <c r="F145">
        <v>4</v>
      </c>
      <c r="G145" t="s">
        <v>292</v>
      </c>
      <c r="H145" s="2">
        <v>28</v>
      </c>
      <c r="I145" t="s">
        <v>27</v>
      </c>
      <c r="J145">
        <v>100</v>
      </c>
      <c r="K145" t="s">
        <v>292</v>
      </c>
      <c r="L145">
        <v>28</v>
      </c>
      <c r="M145" t="s">
        <v>28</v>
      </c>
      <c r="N145" t="s">
        <v>29</v>
      </c>
      <c r="O145" t="s">
        <v>293</v>
      </c>
      <c r="P145" t="s">
        <v>34</v>
      </c>
      <c r="Q145">
        <v>571.03</v>
      </c>
      <c r="R145">
        <v>32.31</v>
      </c>
      <c r="S145">
        <v>397.01</v>
      </c>
      <c r="T145">
        <v>12.34</v>
      </c>
      <c r="U145">
        <v>39701</v>
      </c>
    </row>
    <row r="146" spans="1:21" x14ac:dyDescent="0.25">
      <c r="A146" t="s">
        <v>295</v>
      </c>
      <c r="B146" t="s">
        <v>22</v>
      </c>
      <c r="C146" t="s">
        <v>23</v>
      </c>
      <c r="D146" t="s">
        <v>24</v>
      </c>
      <c r="E146" t="s">
        <v>25</v>
      </c>
      <c r="F146">
        <v>3</v>
      </c>
      <c r="G146" t="s">
        <v>279</v>
      </c>
      <c r="H146" s="2">
        <v>28</v>
      </c>
      <c r="I146" t="s">
        <v>27</v>
      </c>
      <c r="J146">
        <v>100</v>
      </c>
      <c r="K146" t="s">
        <v>279</v>
      </c>
      <c r="L146">
        <v>28</v>
      </c>
      <c r="M146" t="s">
        <v>28</v>
      </c>
      <c r="N146" t="s">
        <v>29</v>
      </c>
      <c r="O146" t="s">
        <v>283</v>
      </c>
      <c r="P146" t="s">
        <v>34</v>
      </c>
      <c r="Q146">
        <v>572.91</v>
      </c>
      <c r="R146">
        <v>32.42</v>
      </c>
      <c r="S146">
        <v>398.31</v>
      </c>
      <c r="T146">
        <v>12.34</v>
      </c>
      <c r="U146">
        <v>39831</v>
      </c>
    </row>
    <row r="147" spans="1:21" x14ac:dyDescent="0.25">
      <c r="A147" t="s">
        <v>295</v>
      </c>
      <c r="B147" t="s">
        <v>22</v>
      </c>
      <c r="C147" t="s">
        <v>23</v>
      </c>
      <c r="D147" t="s">
        <v>24</v>
      </c>
      <c r="E147" t="s">
        <v>25</v>
      </c>
      <c r="F147">
        <v>4</v>
      </c>
      <c r="G147" t="s">
        <v>279</v>
      </c>
      <c r="H147" s="2">
        <v>28</v>
      </c>
      <c r="I147" t="s">
        <v>27</v>
      </c>
      <c r="J147">
        <v>100</v>
      </c>
      <c r="K147" t="s">
        <v>279</v>
      </c>
      <c r="L147">
        <v>28</v>
      </c>
      <c r="M147" t="s">
        <v>28</v>
      </c>
      <c r="N147" t="s">
        <v>29</v>
      </c>
      <c r="O147" t="s">
        <v>283</v>
      </c>
      <c r="P147" t="s">
        <v>41</v>
      </c>
      <c r="Q147">
        <v>566.71</v>
      </c>
      <c r="R147">
        <v>32.07</v>
      </c>
      <c r="S147">
        <v>394</v>
      </c>
      <c r="T147">
        <v>12.33</v>
      </c>
      <c r="U147">
        <v>39400</v>
      </c>
    </row>
    <row r="148" spans="1:21" x14ac:dyDescent="0.25">
      <c r="A148" t="s">
        <v>296</v>
      </c>
      <c r="B148" t="s">
        <v>22</v>
      </c>
      <c r="C148" t="s">
        <v>23</v>
      </c>
      <c r="D148" t="s">
        <v>24</v>
      </c>
      <c r="E148" t="s">
        <v>25</v>
      </c>
      <c r="F148">
        <v>3</v>
      </c>
      <c r="G148" t="s">
        <v>279</v>
      </c>
      <c r="H148" s="2">
        <v>28</v>
      </c>
      <c r="I148" t="s">
        <v>27</v>
      </c>
      <c r="J148">
        <v>100</v>
      </c>
      <c r="K148" t="s">
        <v>279</v>
      </c>
      <c r="L148">
        <v>28</v>
      </c>
      <c r="M148" t="s">
        <v>28</v>
      </c>
      <c r="N148" t="s">
        <v>29</v>
      </c>
      <c r="O148" t="s">
        <v>283</v>
      </c>
      <c r="P148" t="s">
        <v>43</v>
      </c>
      <c r="Q148">
        <v>586.70000000000005</v>
      </c>
      <c r="R148">
        <v>33.21</v>
      </c>
      <c r="S148">
        <v>407.9</v>
      </c>
      <c r="T148">
        <v>12.42</v>
      </c>
      <c r="U148">
        <v>40790</v>
      </c>
    </row>
    <row r="149" spans="1:21" x14ac:dyDescent="0.25">
      <c r="A149" t="s">
        <v>296</v>
      </c>
      <c r="B149" t="s">
        <v>22</v>
      </c>
      <c r="C149" t="s">
        <v>23</v>
      </c>
      <c r="D149" t="s">
        <v>24</v>
      </c>
      <c r="E149" t="s">
        <v>25</v>
      </c>
      <c r="F149">
        <v>4</v>
      </c>
      <c r="G149" t="s">
        <v>279</v>
      </c>
      <c r="H149" s="2">
        <v>28</v>
      </c>
      <c r="I149" t="s">
        <v>27</v>
      </c>
      <c r="J149">
        <v>100</v>
      </c>
      <c r="K149" t="s">
        <v>279</v>
      </c>
      <c r="L149">
        <v>28</v>
      </c>
      <c r="M149" t="s">
        <v>28</v>
      </c>
      <c r="N149" t="s">
        <v>29</v>
      </c>
      <c r="O149" t="s">
        <v>283</v>
      </c>
      <c r="P149" t="s">
        <v>34</v>
      </c>
      <c r="Q149">
        <v>593.36</v>
      </c>
      <c r="R149">
        <v>33.58</v>
      </c>
      <c r="S149">
        <v>412.53</v>
      </c>
      <c r="T149">
        <v>12.23</v>
      </c>
      <c r="U149">
        <v>41253</v>
      </c>
    </row>
    <row r="150" spans="1:21" x14ac:dyDescent="0.25">
      <c r="A150" t="s">
        <v>297</v>
      </c>
      <c r="B150" t="s">
        <v>22</v>
      </c>
      <c r="C150" t="s">
        <v>23</v>
      </c>
      <c r="D150" t="s">
        <v>24</v>
      </c>
      <c r="E150" t="s">
        <v>25</v>
      </c>
      <c r="F150">
        <v>3</v>
      </c>
      <c r="G150" t="s">
        <v>279</v>
      </c>
      <c r="H150" s="2">
        <v>28</v>
      </c>
      <c r="I150" t="s">
        <v>27</v>
      </c>
      <c r="J150">
        <v>100</v>
      </c>
      <c r="K150" t="s">
        <v>279</v>
      </c>
      <c r="L150">
        <v>28</v>
      </c>
      <c r="M150" t="s">
        <v>28</v>
      </c>
      <c r="N150" t="s">
        <v>29</v>
      </c>
      <c r="O150" t="s">
        <v>283</v>
      </c>
      <c r="P150" t="s">
        <v>33</v>
      </c>
      <c r="Q150">
        <v>563.78</v>
      </c>
      <c r="R150">
        <v>31.9</v>
      </c>
      <c r="S150">
        <v>391.96</v>
      </c>
      <c r="T150">
        <v>12.38</v>
      </c>
      <c r="U150">
        <v>39196</v>
      </c>
    </row>
    <row r="151" spans="1:21" x14ac:dyDescent="0.25">
      <c r="A151" t="s">
        <v>297</v>
      </c>
      <c r="B151" t="s">
        <v>22</v>
      </c>
      <c r="C151" t="s">
        <v>23</v>
      </c>
      <c r="D151" t="s">
        <v>24</v>
      </c>
      <c r="E151" t="s">
        <v>25</v>
      </c>
      <c r="F151">
        <v>4</v>
      </c>
      <c r="G151" t="s">
        <v>279</v>
      </c>
      <c r="H151" s="2">
        <v>28</v>
      </c>
      <c r="I151" t="s">
        <v>27</v>
      </c>
      <c r="J151">
        <v>100</v>
      </c>
      <c r="K151" t="s">
        <v>279</v>
      </c>
      <c r="L151">
        <v>28</v>
      </c>
      <c r="M151" t="s">
        <v>28</v>
      </c>
      <c r="N151" t="s">
        <v>29</v>
      </c>
      <c r="O151" t="s">
        <v>283</v>
      </c>
      <c r="P151" t="s">
        <v>34</v>
      </c>
      <c r="Q151">
        <v>646.66999999999996</v>
      </c>
      <c r="R151">
        <v>36.6</v>
      </c>
      <c r="S151">
        <v>449.59</v>
      </c>
      <c r="T151">
        <v>12.21</v>
      </c>
      <c r="U151">
        <v>44959</v>
      </c>
    </row>
    <row r="152" spans="1:21" x14ac:dyDescent="0.25">
      <c r="A152" t="s">
        <v>298</v>
      </c>
      <c r="B152" t="s">
        <v>22</v>
      </c>
      <c r="C152" t="s">
        <v>23</v>
      </c>
      <c r="D152" t="s">
        <v>24</v>
      </c>
      <c r="E152" t="s">
        <v>25</v>
      </c>
      <c r="F152">
        <v>3</v>
      </c>
      <c r="G152" t="s">
        <v>279</v>
      </c>
      <c r="H152" s="2">
        <v>28</v>
      </c>
      <c r="I152" t="s">
        <v>27</v>
      </c>
      <c r="J152">
        <v>100</v>
      </c>
      <c r="K152" t="s">
        <v>279</v>
      </c>
      <c r="L152">
        <v>28</v>
      </c>
      <c r="M152" t="s">
        <v>28</v>
      </c>
      <c r="N152" t="s">
        <v>29</v>
      </c>
      <c r="O152" t="s">
        <v>283</v>
      </c>
      <c r="P152" t="s">
        <v>31</v>
      </c>
      <c r="Q152">
        <v>574.09</v>
      </c>
      <c r="R152">
        <v>32.49</v>
      </c>
      <c r="S152">
        <v>399.13</v>
      </c>
      <c r="T152">
        <v>12.16</v>
      </c>
      <c r="U152">
        <v>39913</v>
      </c>
    </row>
    <row r="153" spans="1:21" x14ac:dyDescent="0.25">
      <c r="A153" t="s">
        <v>298</v>
      </c>
      <c r="B153" t="s">
        <v>22</v>
      </c>
      <c r="C153" t="s">
        <v>23</v>
      </c>
      <c r="D153" t="s">
        <v>24</v>
      </c>
      <c r="E153" t="s">
        <v>25</v>
      </c>
      <c r="F153">
        <v>4</v>
      </c>
      <c r="G153" t="s">
        <v>279</v>
      </c>
      <c r="H153" s="2">
        <v>28</v>
      </c>
      <c r="I153" t="s">
        <v>27</v>
      </c>
      <c r="J153">
        <v>100</v>
      </c>
      <c r="K153" t="s">
        <v>279</v>
      </c>
      <c r="L153">
        <v>28</v>
      </c>
      <c r="M153" t="s">
        <v>28</v>
      </c>
      <c r="N153" t="s">
        <v>29</v>
      </c>
      <c r="O153" t="s">
        <v>283</v>
      </c>
      <c r="P153" t="s">
        <v>41</v>
      </c>
      <c r="Q153">
        <v>587.30999999999995</v>
      </c>
      <c r="R153">
        <v>33.24</v>
      </c>
      <c r="S153">
        <v>408.32</v>
      </c>
      <c r="T153">
        <v>12.13</v>
      </c>
      <c r="U153">
        <v>40832</v>
      </c>
    </row>
    <row r="154" spans="1:21" x14ac:dyDescent="0.25">
      <c r="A154" t="s">
        <v>304</v>
      </c>
      <c r="B154" t="s">
        <v>22</v>
      </c>
      <c r="C154" t="s">
        <v>23</v>
      </c>
      <c r="D154" t="s">
        <v>24</v>
      </c>
      <c r="E154" t="s">
        <v>25</v>
      </c>
      <c r="F154">
        <v>3</v>
      </c>
      <c r="G154" t="s">
        <v>305</v>
      </c>
      <c r="H154" s="2">
        <v>28</v>
      </c>
      <c r="I154" t="s">
        <v>27</v>
      </c>
      <c r="J154">
        <v>100</v>
      </c>
      <c r="K154" t="s">
        <v>305</v>
      </c>
      <c r="L154">
        <v>28</v>
      </c>
      <c r="M154" t="s">
        <v>28</v>
      </c>
      <c r="N154" t="s">
        <v>29</v>
      </c>
      <c r="O154" t="s">
        <v>306</v>
      </c>
      <c r="P154" t="s">
        <v>41</v>
      </c>
      <c r="Q154">
        <v>575.1</v>
      </c>
      <c r="R154">
        <v>32.54</v>
      </c>
      <c r="S154">
        <v>399.84</v>
      </c>
      <c r="T154">
        <v>12.24</v>
      </c>
      <c r="U154">
        <v>39984</v>
      </c>
    </row>
    <row r="155" spans="1:21" x14ac:dyDescent="0.25">
      <c r="A155" t="s">
        <v>304</v>
      </c>
      <c r="B155" t="s">
        <v>22</v>
      </c>
      <c r="C155" t="s">
        <v>23</v>
      </c>
      <c r="D155" t="s">
        <v>24</v>
      </c>
      <c r="E155" t="s">
        <v>25</v>
      </c>
      <c r="F155">
        <v>4</v>
      </c>
      <c r="G155" t="s">
        <v>305</v>
      </c>
      <c r="H155" s="2">
        <v>28</v>
      </c>
      <c r="I155" t="s">
        <v>27</v>
      </c>
      <c r="J155">
        <v>100</v>
      </c>
      <c r="K155" t="s">
        <v>305</v>
      </c>
      <c r="L155">
        <v>28</v>
      </c>
      <c r="M155" t="s">
        <v>28</v>
      </c>
      <c r="N155" t="s">
        <v>29</v>
      </c>
      <c r="O155" t="s">
        <v>306</v>
      </c>
      <c r="P155" t="s">
        <v>43</v>
      </c>
      <c r="Q155">
        <v>558.21</v>
      </c>
      <c r="R155">
        <v>31.59</v>
      </c>
      <c r="S155">
        <v>388.09</v>
      </c>
      <c r="T155">
        <v>12.41</v>
      </c>
      <c r="U155">
        <v>38809</v>
      </c>
    </row>
    <row r="156" spans="1:21" x14ac:dyDescent="0.25">
      <c r="A156" t="s">
        <v>307</v>
      </c>
      <c r="B156" t="s">
        <v>22</v>
      </c>
      <c r="C156" t="s">
        <v>23</v>
      </c>
      <c r="D156" t="s">
        <v>24</v>
      </c>
      <c r="E156" t="s">
        <v>25</v>
      </c>
      <c r="F156">
        <v>3</v>
      </c>
      <c r="G156" t="s">
        <v>305</v>
      </c>
      <c r="H156" s="2">
        <v>28</v>
      </c>
      <c r="I156" t="s">
        <v>27</v>
      </c>
      <c r="J156">
        <v>100</v>
      </c>
      <c r="K156" t="s">
        <v>305</v>
      </c>
      <c r="L156">
        <v>28</v>
      </c>
      <c r="M156" t="s">
        <v>28</v>
      </c>
      <c r="N156" t="s">
        <v>29</v>
      </c>
      <c r="O156" t="s">
        <v>306</v>
      </c>
      <c r="P156" t="s">
        <v>41</v>
      </c>
      <c r="Q156">
        <v>577.89</v>
      </c>
      <c r="R156">
        <v>32.71</v>
      </c>
      <c r="S156">
        <v>401.77</v>
      </c>
      <c r="T156">
        <v>12.48</v>
      </c>
      <c r="U156">
        <v>40177</v>
      </c>
    </row>
    <row r="157" spans="1:21" x14ac:dyDescent="0.25">
      <c r="A157" t="s">
        <v>307</v>
      </c>
      <c r="B157" t="s">
        <v>22</v>
      </c>
      <c r="C157" t="s">
        <v>23</v>
      </c>
      <c r="D157" t="s">
        <v>24</v>
      </c>
      <c r="E157" t="s">
        <v>25</v>
      </c>
      <c r="F157">
        <v>4</v>
      </c>
      <c r="G157" t="s">
        <v>305</v>
      </c>
      <c r="H157" s="2">
        <v>28</v>
      </c>
      <c r="I157" t="s">
        <v>27</v>
      </c>
      <c r="J157">
        <v>100</v>
      </c>
      <c r="K157" t="s">
        <v>305</v>
      </c>
      <c r="L157">
        <v>28</v>
      </c>
      <c r="M157" t="s">
        <v>28</v>
      </c>
      <c r="N157" t="s">
        <v>29</v>
      </c>
      <c r="O157" t="s">
        <v>306</v>
      </c>
      <c r="P157" t="s">
        <v>43</v>
      </c>
      <c r="Q157">
        <v>588.75</v>
      </c>
      <c r="R157">
        <v>33.32</v>
      </c>
      <c r="S157">
        <v>409.33</v>
      </c>
      <c r="T157">
        <v>12.3</v>
      </c>
      <c r="U157">
        <v>40933</v>
      </c>
    </row>
    <row r="158" spans="1:21" x14ac:dyDescent="0.25">
      <c r="A158" t="s">
        <v>308</v>
      </c>
      <c r="B158" t="s">
        <v>22</v>
      </c>
      <c r="C158" t="s">
        <v>23</v>
      </c>
      <c r="D158" t="s">
        <v>24</v>
      </c>
      <c r="E158" t="s">
        <v>25</v>
      </c>
      <c r="F158">
        <v>3</v>
      </c>
      <c r="G158" t="s">
        <v>305</v>
      </c>
      <c r="H158" s="2">
        <v>28</v>
      </c>
      <c r="I158" t="s">
        <v>27</v>
      </c>
      <c r="J158">
        <v>100</v>
      </c>
      <c r="K158" t="s">
        <v>305</v>
      </c>
      <c r="L158">
        <v>28</v>
      </c>
      <c r="M158" t="s">
        <v>28</v>
      </c>
      <c r="N158" t="s">
        <v>29</v>
      </c>
      <c r="O158" t="s">
        <v>309</v>
      </c>
      <c r="P158" t="s">
        <v>34</v>
      </c>
      <c r="Q158">
        <v>556.62</v>
      </c>
      <c r="R158">
        <v>31.5</v>
      </c>
      <c r="S158">
        <v>386.99</v>
      </c>
      <c r="T158">
        <v>12.34</v>
      </c>
      <c r="U158">
        <v>38699</v>
      </c>
    </row>
    <row r="159" spans="1:21" x14ac:dyDescent="0.25">
      <c r="A159" t="s">
        <v>308</v>
      </c>
      <c r="B159" t="s">
        <v>22</v>
      </c>
      <c r="C159" t="s">
        <v>23</v>
      </c>
      <c r="D159" t="s">
        <v>24</v>
      </c>
      <c r="E159" t="s">
        <v>25</v>
      </c>
      <c r="F159">
        <v>4</v>
      </c>
      <c r="G159" t="s">
        <v>305</v>
      </c>
      <c r="H159" s="2">
        <v>28</v>
      </c>
      <c r="I159" t="s">
        <v>27</v>
      </c>
      <c r="J159">
        <v>100</v>
      </c>
      <c r="K159" t="s">
        <v>305</v>
      </c>
      <c r="L159">
        <v>28</v>
      </c>
      <c r="M159" t="s">
        <v>28</v>
      </c>
      <c r="N159" t="s">
        <v>29</v>
      </c>
      <c r="O159" t="s">
        <v>309</v>
      </c>
      <c r="P159" t="s">
        <v>34</v>
      </c>
      <c r="Q159">
        <v>650.41999999999996</v>
      </c>
      <c r="R159">
        <v>36.81</v>
      </c>
      <c r="S159">
        <v>452.2</v>
      </c>
      <c r="T159">
        <v>12.4</v>
      </c>
      <c r="U159">
        <v>45220</v>
      </c>
    </row>
    <row r="160" spans="1:21" x14ac:dyDescent="0.25">
      <c r="A160" t="s">
        <v>310</v>
      </c>
      <c r="B160" t="s">
        <v>22</v>
      </c>
      <c r="C160" t="s">
        <v>23</v>
      </c>
      <c r="D160" t="s">
        <v>24</v>
      </c>
      <c r="E160" t="s">
        <v>25</v>
      </c>
      <c r="F160">
        <v>3</v>
      </c>
      <c r="G160" t="s">
        <v>305</v>
      </c>
      <c r="H160" s="2">
        <v>28</v>
      </c>
      <c r="I160" t="s">
        <v>27</v>
      </c>
      <c r="J160">
        <v>100</v>
      </c>
      <c r="K160" t="s">
        <v>305</v>
      </c>
      <c r="L160">
        <v>28</v>
      </c>
      <c r="M160" t="s">
        <v>28</v>
      </c>
      <c r="N160" t="s">
        <v>29</v>
      </c>
      <c r="O160" t="s">
        <v>309</v>
      </c>
      <c r="P160" t="s">
        <v>33</v>
      </c>
      <c r="Q160">
        <v>577.51</v>
      </c>
      <c r="R160">
        <v>32.69</v>
      </c>
      <c r="S160">
        <v>401.51</v>
      </c>
      <c r="T160">
        <v>12.3</v>
      </c>
      <c r="U160">
        <v>40151</v>
      </c>
    </row>
    <row r="161" spans="1:21" x14ac:dyDescent="0.25">
      <c r="A161" t="s">
        <v>310</v>
      </c>
      <c r="B161" t="s">
        <v>22</v>
      </c>
      <c r="C161" t="s">
        <v>23</v>
      </c>
      <c r="D161" t="s">
        <v>24</v>
      </c>
      <c r="E161" t="s">
        <v>25</v>
      </c>
      <c r="F161">
        <v>4</v>
      </c>
      <c r="G161" t="s">
        <v>305</v>
      </c>
      <c r="H161" s="2">
        <v>28</v>
      </c>
      <c r="I161" t="s">
        <v>27</v>
      </c>
      <c r="J161">
        <v>100</v>
      </c>
      <c r="K161" t="s">
        <v>305</v>
      </c>
      <c r="L161">
        <v>28</v>
      </c>
      <c r="M161" t="s">
        <v>28</v>
      </c>
      <c r="N161" t="s">
        <v>29</v>
      </c>
      <c r="O161" t="s">
        <v>309</v>
      </c>
      <c r="P161" t="s">
        <v>31</v>
      </c>
      <c r="Q161">
        <v>583.15</v>
      </c>
      <c r="R161">
        <v>33.01</v>
      </c>
      <c r="S161">
        <v>405.43</v>
      </c>
      <c r="T161">
        <v>12.31</v>
      </c>
      <c r="U161">
        <v>40543</v>
      </c>
    </row>
    <row r="162" spans="1:21" x14ac:dyDescent="0.25">
      <c r="A162" t="s">
        <v>313</v>
      </c>
      <c r="B162" t="s">
        <v>22</v>
      </c>
      <c r="C162" t="s">
        <v>23</v>
      </c>
      <c r="D162" t="s">
        <v>24</v>
      </c>
      <c r="E162" t="s">
        <v>25</v>
      </c>
      <c r="F162">
        <v>3</v>
      </c>
      <c r="G162" t="s">
        <v>305</v>
      </c>
      <c r="H162" s="2">
        <v>28</v>
      </c>
      <c r="I162" t="s">
        <v>27</v>
      </c>
      <c r="J162">
        <v>100</v>
      </c>
      <c r="K162" t="s">
        <v>305</v>
      </c>
      <c r="L162">
        <v>28</v>
      </c>
      <c r="M162" t="s">
        <v>28</v>
      </c>
      <c r="N162" t="s">
        <v>29</v>
      </c>
      <c r="O162" t="s">
        <v>314</v>
      </c>
      <c r="P162" t="s">
        <v>31</v>
      </c>
      <c r="Q162">
        <v>510</v>
      </c>
      <c r="R162">
        <v>28.86</v>
      </c>
      <c r="S162">
        <v>354.57</v>
      </c>
      <c r="T162">
        <v>12.44</v>
      </c>
      <c r="U162">
        <v>35457</v>
      </c>
    </row>
    <row r="163" spans="1:21" x14ac:dyDescent="0.25">
      <c r="A163" t="s">
        <v>313</v>
      </c>
      <c r="B163" t="s">
        <v>22</v>
      </c>
      <c r="C163" t="s">
        <v>23</v>
      </c>
      <c r="D163" t="s">
        <v>24</v>
      </c>
      <c r="E163" t="s">
        <v>25</v>
      </c>
      <c r="F163">
        <v>4</v>
      </c>
      <c r="G163" t="s">
        <v>305</v>
      </c>
      <c r="H163" s="2">
        <v>28</v>
      </c>
      <c r="I163" t="s">
        <v>27</v>
      </c>
      <c r="J163">
        <v>100</v>
      </c>
      <c r="K163" t="s">
        <v>305</v>
      </c>
      <c r="L163">
        <v>28</v>
      </c>
      <c r="M163" t="s">
        <v>28</v>
      </c>
      <c r="N163" t="s">
        <v>29</v>
      </c>
      <c r="O163" t="s">
        <v>314</v>
      </c>
      <c r="P163" t="s">
        <v>33</v>
      </c>
      <c r="Q163">
        <v>507.31</v>
      </c>
      <c r="R163">
        <v>28.71</v>
      </c>
      <c r="S163">
        <v>352.7</v>
      </c>
      <c r="T163">
        <v>12.21</v>
      </c>
      <c r="U163">
        <v>35270</v>
      </c>
    </row>
    <row r="164" spans="1:21" x14ac:dyDescent="0.25">
      <c r="A164" t="s">
        <v>317</v>
      </c>
      <c r="B164" t="s">
        <v>22</v>
      </c>
      <c r="C164" t="s">
        <v>23</v>
      </c>
      <c r="D164" t="s">
        <v>24</v>
      </c>
      <c r="E164" t="s">
        <v>25</v>
      </c>
      <c r="F164">
        <v>3</v>
      </c>
      <c r="G164" t="s">
        <v>305</v>
      </c>
      <c r="H164" s="2">
        <v>28</v>
      </c>
      <c r="I164" t="s">
        <v>27</v>
      </c>
      <c r="J164">
        <v>100</v>
      </c>
      <c r="K164" t="s">
        <v>305</v>
      </c>
      <c r="L164">
        <v>28</v>
      </c>
      <c r="M164" t="s">
        <v>28</v>
      </c>
      <c r="N164" t="s">
        <v>29</v>
      </c>
      <c r="O164" t="s">
        <v>314</v>
      </c>
      <c r="P164" t="s">
        <v>34</v>
      </c>
      <c r="Q164">
        <v>500.38</v>
      </c>
      <c r="R164">
        <v>28.32</v>
      </c>
      <c r="S164">
        <v>347.89</v>
      </c>
      <c r="T164">
        <v>12.13</v>
      </c>
      <c r="U164">
        <v>34789</v>
      </c>
    </row>
    <row r="165" spans="1:21" x14ac:dyDescent="0.25">
      <c r="A165" t="s">
        <v>317</v>
      </c>
      <c r="B165" t="s">
        <v>22</v>
      </c>
      <c r="C165" t="s">
        <v>23</v>
      </c>
      <c r="D165" t="s">
        <v>24</v>
      </c>
      <c r="E165" t="s">
        <v>25</v>
      </c>
      <c r="F165">
        <v>4</v>
      </c>
      <c r="G165" t="s">
        <v>305</v>
      </c>
      <c r="H165" s="2">
        <v>28</v>
      </c>
      <c r="I165" t="s">
        <v>27</v>
      </c>
      <c r="J165">
        <v>100</v>
      </c>
      <c r="K165" t="s">
        <v>305</v>
      </c>
      <c r="L165">
        <v>28</v>
      </c>
      <c r="M165" t="s">
        <v>28</v>
      </c>
      <c r="N165" t="s">
        <v>29</v>
      </c>
      <c r="O165" t="s">
        <v>314</v>
      </c>
      <c r="P165" t="s">
        <v>41</v>
      </c>
      <c r="Q165">
        <v>511.32</v>
      </c>
      <c r="R165">
        <v>28.94</v>
      </c>
      <c r="S165">
        <v>355.49</v>
      </c>
      <c r="T165">
        <v>12.31</v>
      </c>
      <c r="U165">
        <v>35549</v>
      </c>
    </row>
    <row r="166" spans="1:21" x14ac:dyDescent="0.25">
      <c r="A166" t="s">
        <v>318</v>
      </c>
      <c r="B166" t="s">
        <v>22</v>
      </c>
      <c r="C166" t="s">
        <v>23</v>
      </c>
      <c r="D166" t="s">
        <v>24</v>
      </c>
      <c r="E166" t="s">
        <v>25</v>
      </c>
      <c r="F166">
        <v>3</v>
      </c>
      <c r="G166" t="s">
        <v>305</v>
      </c>
      <c r="H166" s="2">
        <v>28</v>
      </c>
      <c r="I166" t="s">
        <v>27</v>
      </c>
      <c r="J166">
        <v>100</v>
      </c>
      <c r="K166" t="s">
        <v>305</v>
      </c>
      <c r="L166">
        <v>28</v>
      </c>
      <c r="M166" t="s">
        <v>28</v>
      </c>
      <c r="N166" t="s">
        <v>29</v>
      </c>
      <c r="O166" t="s">
        <v>314</v>
      </c>
      <c r="P166" t="s">
        <v>41</v>
      </c>
      <c r="Q166">
        <v>614.80999999999995</v>
      </c>
      <c r="R166">
        <v>34.799999999999997</v>
      </c>
      <c r="S166">
        <v>427.44</v>
      </c>
      <c r="T166">
        <v>12.19</v>
      </c>
      <c r="U166">
        <v>42744</v>
      </c>
    </row>
    <row r="167" spans="1:21" x14ac:dyDescent="0.25">
      <c r="A167" t="s">
        <v>318</v>
      </c>
      <c r="B167" t="s">
        <v>22</v>
      </c>
      <c r="C167" t="s">
        <v>23</v>
      </c>
      <c r="D167" t="s">
        <v>24</v>
      </c>
      <c r="E167" t="s">
        <v>25</v>
      </c>
      <c r="F167">
        <v>4</v>
      </c>
      <c r="G167" t="s">
        <v>305</v>
      </c>
      <c r="H167" s="2">
        <v>28</v>
      </c>
      <c r="I167" t="s">
        <v>27</v>
      </c>
      <c r="J167">
        <v>100</v>
      </c>
      <c r="K167" t="s">
        <v>305</v>
      </c>
      <c r="L167">
        <v>28</v>
      </c>
      <c r="M167" t="s">
        <v>28</v>
      </c>
      <c r="N167" t="s">
        <v>29</v>
      </c>
      <c r="O167" t="s">
        <v>314</v>
      </c>
      <c r="P167" t="s">
        <v>33</v>
      </c>
      <c r="Q167">
        <v>601.95000000000005</v>
      </c>
      <c r="R167">
        <v>34.07</v>
      </c>
      <c r="S167">
        <v>418.5</v>
      </c>
      <c r="T167">
        <v>12.13</v>
      </c>
      <c r="U167">
        <v>41850</v>
      </c>
    </row>
    <row r="168" spans="1:21" x14ac:dyDescent="0.25">
      <c r="A168" t="s">
        <v>319</v>
      </c>
      <c r="B168" t="s">
        <v>22</v>
      </c>
      <c r="C168" t="s">
        <v>23</v>
      </c>
      <c r="D168" t="s">
        <v>24</v>
      </c>
      <c r="E168" t="s">
        <v>25</v>
      </c>
      <c r="F168">
        <v>3</v>
      </c>
      <c r="G168" t="s">
        <v>305</v>
      </c>
      <c r="H168" s="2">
        <v>28</v>
      </c>
      <c r="I168" t="s">
        <v>27</v>
      </c>
      <c r="J168">
        <v>100</v>
      </c>
      <c r="K168" t="s">
        <v>305</v>
      </c>
      <c r="L168">
        <v>28</v>
      </c>
      <c r="M168" t="s">
        <v>28</v>
      </c>
      <c r="N168" t="s">
        <v>29</v>
      </c>
      <c r="O168" t="s">
        <v>314</v>
      </c>
      <c r="P168" t="s">
        <v>31</v>
      </c>
      <c r="Q168">
        <v>566.23</v>
      </c>
      <c r="R168">
        <v>32.04</v>
      </c>
      <c r="S168">
        <v>393.67</v>
      </c>
      <c r="T168">
        <v>12.46</v>
      </c>
      <c r="U168">
        <v>39367</v>
      </c>
    </row>
    <row r="169" spans="1:21" x14ac:dyDescent="0.25">
      <c r="A169" t="s">
        <v>319</v>
      </c>
      <c r="B169" t="s">
        <v>22</v>
      </c>
      <c r="C169" t="s">
        <v>23</v>
      </c>
      <c r="D169" t="s">
        <v>24</v>
      </c>
      <c r="E169" t="s">
        <v>25</v>
      </c>
      <c r="F169">
        <v>4</v>
      </c>
      <c r="G169" t="s">
        <v>305</v>
      </c>
      <c r="H169" s="2">
        <v>28</v>
      </c>
      <c r="I169" t="s">
        <v>27</v>
      </c>
      <c r="J169">
        <v>100</v>
      </c>
      <c r="K169" t="s">
        <v>305</v>
      </c>
      <c r="L169">
        <v>28</v>
      </c>
      <c r="M169" t="s">
        <v>28</v>
      </c>
      <c r="N169" t="s">
        <v>29</v>
      </c>
      <c r="O169" t="s">
        <v>314</v>
      </c>
      <c r="P169" t="s">
        <v>41</v>
      </c>
      <c r="Q169">
        <v>556.12</v>
      </c>
      <c r="R169">
        <v>31.47</v>
      </c>
      <c r="S169">
        <v>386.64</v>
      </c>
      <c r="T169">
        <v>12.48</v>
      </c>
      <c r="U169">
        <v>38664</v>
      </c>
    </row>
    <row r="170" spans="1:21" x14ac:dyDescent="0.25">
      <c r="A170" t="s">
        <v>320</v>
      </c>
      <c r="B170" t="s">
        <v>22</v>
      </c>
      <c r="C170" t="s">
        <v>23</v>
      </c>
      <c r="D170" t="s">
        <v>24</v>
      </c>
      <c r="E170" t="s">
        <v>25</v>
      </c>
      <c r="F170">
        <v>3</v>
      </c>
      <c r="G170" t="s">
        <v>305</v>
      </c>
      <c r="H170" s="2">
        <v>28</v>
      </c>
      <c r="I170" t="s">
        <v>27</v>
      </c>
      <c r="J170">
        <v>100</v>
      </c>
      <c r="K170" t="s">
        <v>305</v>
      </c>
      <c r="L170">
        <v>28</v>
      </c>
      <c r="M170" t="s">
        <v>28</v>
      </c>
      <c r="N170" t="s">
        <v>29</v>
      </c>
      <c r="O170" t="s">
        <v>314</v>
      </c>
      <c r="P170" t="s">
        <v>34</v>
      </c>
      <c r="Q170">
        <v>577.77</v>
      </c>
      <c r="R170">
        <v>32.700000000000003</v>
      </c>
      <c r="S170">
        <v>401.69</v>
      </c>
      <c r="T170">
        <v>12.2</v>
      </c>
      <c r="U170">
        <v>40169</v>
      </c>
    </row>
    <row r="171" spans="1:21" x14ac:dyDescent="0.25">
      <c r="A171" t="s">
        <v>320</v>
      </c>
      <c r="B171" t="s">
        <v>22</v>
      </c>
      <c r="C171" t="s">
        <v>23</v>
      </c>
      <c r="D171" t="s">
        <v>24</v>
      </c>
      <c r="E171" t="s">
        <v>25</v>
      </c>
      <c r="F171">
        <v>4</v>
      </c>
      <c r="G171" t="s">
        <v>305</v>
      </c>
      <c r="H171" s="2">
        <v>28</v>
      </c>
      <c r="I171" t="s">
        <v>27</v>
      </c>
      <c r="J171">
        <v>100</v>
      </c>
      <c r="K171" t="s">
        <v>305</v>
      </c>
      <c r="L171">
        <v>28</v>
      </c>
      <c r="M171" t="s">
        <v>28</v>
      </c>
      <c r="N171" t="s">
        <v>29</v>
      </c>
      <c r="O171" t="s">
        <v>314</v>
      </c>
      <c r="P171" t="s">
        <v>41</v>
      </c>
      <c r="Q171">
        <v>590.48</v>
      </c>
      <c r="R171">
        <v>33.42</v>
      </c>
      <c r="S171">
        <v>410.53</v>
      </c>
      <c r="T171">
        <v>12.13</v>
      </c>
      <c r="U171">
        <v>41053</v>
      </c>
    </row>
    <row r="172" spans="1:21" x14ac:dyDescent="0.25">
      <c r="A172" t="s">
        <v>325</v>
      </c>
      <c r="B172" t="s">
        <v>22</v>
      </c>
      <c r="C172" t="s">
        <v>23</v>
      </c>
      <c r="D172" t="s">
        <v>24</v>
      </c>
      <c r="E172" t="s">
        <v>25</v>
      </c>
      <c r="F172">
        <v>1</v>
      </c>
      <c r="G172" t="s">
        <v>292</v>
      </c>
      <c r="H172" s="2">
        <v>7</v>
      </c>
      <c r="I172" t="s">
        <v>27</v>
      </c>
      <c r="J172">
        <v>65</v>
      </c>
      <c r="K172" t="s">
        <v>292</v>
      </c>
      <c r="L172">
        <v>7</v>
      </c>
      <c r="M172" t="s">
        <v>28</v>
      </c>
      <c r="N172" t="s">
        <v>29</v>
      </c>
      <c r="O172" t="s">
        <v>326</v>
      </c>
      <c r="P172" t="s">
        <v>43</v>
      </c>
      <c r="Q172">
        <v>364.3</v>
      </c>
      <c r="R172">
        <v>20.62</v>
      </c>
      <c r="S172">
        <v>253.28</v>
      </c>
      <c r="T172">
        <v>12.45</v>
      </c>
      <c r="U172">
        <v>25328</v>
      </c>
    </row>
    <row r="173" spans="1:21" x14ac:dyDescent="0.25">
      <c r="A173" t="s">
        <v>325</v>
      </c>
      <c r="B173" t="s">
        <v>22</v>
      </c>
      <c r="C173" t="s">
        <v>23</v>
      </c>
      <c r="D173" t="s">
        <v>24</v>
      </c>
      <c r="E173" t="s">
        <v>25</v>
      </c>
      <c r="F173">
        <v>2</v>
      </c>
      <c r="G173" t="s">
        <v>292</v>
      </c>
      <c r="H173" s="2">
        <v>7</v>
      </c>
      <c r="I173" t="s">
        <v>27</v>
      </c>
      <c r="J173">
        <v>65</v>
      </c>
      <c r="K173" t="s">
        <v>292</v>
      </c>
      <c r="L173">
        <v>7</v>
      </c>
      <c r="M173" t="s">
        <v>28</v>
      </c>
      <c r="N173" t="s">
        <v>29</v>
      </c>
      <c r="O173" t="s">
        <v>326</v>
      </c>
      <c r="P173" t="s">
        <v>43</v>
      </c>
      <c r="Q173">
        <v>414.86</v>
      </c>
      <c r="R173">
        <v>23.48</v>
      </c>
      <c r="S173">
        <v>288.43</v>
      </c>
      <c r="T173">
        <v>12.42</v>
      </c>
      <c r="U173">
        <v>28843</v>
      </c>
    </row>
    <row r="174" spans="1:21" x14ac:dyDescent="0.25">
      <c r="A174" t="s">
        <v>327</v>
      </c>
      <c r="B174" t="s">
        <v>22</v>
      </c>
      <c r="C174" t="s">
        <v>23</v>
      </c>
      <c r="D174" t="s">
        <v>24</v>
      </c>
      <c r="E174" t="s">
        <v>25</v>
      </c>
      <c r="F174">
        <v>1</v>
      </c>
      <c r="G174" t="s">
        <v>292</v>
      </c>
      <c r="H174" s="2">
        <v>7</v>
      </c>
      <c r="I174" t="s">
        <v>27</v>
      </c>
      <c r="J174">
        <v>65</v>
      </c>
      <c r="K174" t="s">
        <v>292</v>
      </c>
      <c r="L174">
        <v>7</v>
      </c>
      <c r="M174" t="s">
        <v>28</v>
      </c>
      <c r="N174" t="s">
        <v>29</v>
      </c>
      <c r="O174" t="s">
        <v>326</v>
      </c>
      <c r="P174" t="s">
        <v>43</v>
      </c>
      <c r="Q174">
        <v>382.23</v>
      </c>
      <c r="R174">
        <v>21.63</v>
      </c>
      <c r="S174">
        <v>265.74</v>
      </c>
      <c r="T174">
        <v>12.11</v>
      </c>
      <c r="U174">
        <v>26574</v>
      </c>
    </row>
    <row r="175" spans="1:21" x14ac:dyDescent="0.25">
      <c r="A175" t="s">
        <v>327</v>
      </c>
      <c r="B175" t="s">
        <v>22</v>
      </c>
      <c r="C175" t="s">
        <v>23</v>
      </c>
      <c r="D175" t="s">
        <v>24</v>
      </c>
      <c r="E175" t="s">
        <v>25</v>
      </c>
      <c r="F175">
        <v>2</v>
      </c>
      <c r="G175" t="s">
        <v>292</v>
      </c>
      <c r="H175" s="2">
        <v>7</v>
      </c>
      <c r="I175" t="s">
        <v>27</v>
      </c>
      <c r="J175">
        <v>65</v>
      </c>
      <c r="K175" t="s">
        <v>292</v>
      </c>
      <c r="L175">
        <v>7</v>
      </c>
      <c r="M175" t="s">
        <v>28</v>
      </c>
      <c r="N175" t="s">
        <v>29</v>
      </c>
      <c r="O175" t="s">
        <v>326</v>
      </c>
      <c r="P175" t="s">
        <v>34</v>
      </c>
      <c r="Q175">
        <v>364.76</v>
      </c>
      <c r="R175">
        <v>20.65</v>
      </c>
      <c r="S175">
        <v>253.6</v>
      </c>
      <c r="T175">
        <v>12.39</v>
      </c>
      <c r="U175">
        <v>25360</v>
      </c>
    </row>
    <row r="176" spans="1:21" x14ac:dyDescent="0.25">
      <c r="A176" t="s">
        <v>328</v>
      </c>
      <c r="B176" t="s">
        <v>22</v>
      </c>
      <c r="C176" t="s">
        <v>23</v>
      </c>
      <c r="D176" t="s">
        <v>24</v>
      </c>
      <c r="E176" t="s">
        <v>25</v>
      </c>
      <c r="F176">
        <v>1</v>
      </c>
      <c r="G176" t="s">
        <v>292</v>
      </c>
      <c r="H176" s="2">
        <v>7</v>
      </c>
      <c r="I176" t="s">
        <v>27</v>
      </c>
      <c r="J176">
        <v>65</v>
      </c>
      <c r="K176" t="s">
        <v>292</v>
      </c>
      <c r="L176">
        <v>7</v>
      </c>
      <c r="M176" t="s">
        <v>28</v>
      </c>
      <c r="N176" t="s">
        <v>29</v>
      </c>
      <c r="O176" t="s">
        <v>329</v>
      </c>
      <c r="P176" t="s">
        <v>34</v>
      </c>
      <c r="Q176">
        <v>367.9</v>
      </c>
      <c r="R176">
        <v>20.82</v>
      </c>
      <c r="S176">
        <v>255.78</v>
      </c>
      <c r="T176">
        <v>12.2</v>
      </c>
      <c r="U176">
        <v>25578</v>
      </c>
    </row>
    <row r="177" spans="1:21" x14ac:dyDescent="0.25">
      <c r="A177" t="s">
        <v>328</v>
      </c>
      <c r="B177" t="s">
        <v>22</v>
      </c>
      <c r="C177" t="s">
        <v>23</v>
      </c>
      <c r="D177" t="s">
        <v>24</v>
      </c>
      <c r="E177" t="s">
        <v>25</v>
      </c>
      <c r="F177">
        <v>2</v>
      </c>
      <c r="G177" t="s">
        <v>292</v>
      </c>
      <c r="H177" s="2">
        <v>7</v>
      </c>
      <c r="I177" t="s">
        <v>27</v>
      </c>
      <c r="J177">
        <v>65</v>
      </c>
      <c r="K177" t="s">
        <v>292</v>
      </c>
      <c r="L177">
        <v>7</v>
      </c>
      <c r="M177" t="s">
        <v>28</v>
      </c>
      <c r="N177" t="s">
        <v>29</v>
      </c>
      <c r="O177" t="s">
        <v>329</v>
      </c>
      <c r="P177" t="s">
        <v>34</v>
      </c>
      <c r="Q177">
        <v>394.94</v>
      </c>
      <c r="R177">
        <v>22.35</v>
      </c>
      <c r="S177">
        <v>274.58</v>
      </c>
      <c r="T177">
        <v>12.18</v>
      </c>
      <c r="U177">
        <v>27458</v>
      </c>
    </row>
    <row r="178" spans="1:21" x14ac:dyDescent="0.25">
      <c r="A178" t="s">
        <v>330</v>
      </c>
      <c r="B178" t="s">
        <v>22</v>
      </c>
      <c r="C178" t="s">
        <v>23</v>
      </c>
      <c r="D178" t="s">
        <v>24</v>
      </c>
      <c r="E178" t="s">
        <v>25</v>
      </c>
      <c r="F178">
        <v>1</v>
      </c>
      <c r="G178" t="s">
        <v>292</v>
      </c>
      <c r="H178" s="2">
        <v>7</v>
      </c>
      <c r="I178" t="s">
        <v>27</v>
      </c>
      <c r="J178">
        <v>65</v>
      </c>
      <c r="K178" t="s">
        <v>292</v>
      </c>
      <c r="L178">
        <v>7</v>
      </c>
      <c r="M178" t="s">
        <v>28</v>
      </c>
      <c r="N178" t="s">
        <v>29</v>
      </c>
      <c r="O178" t="s">
        <v>329</v>
      </c>
      <c r="P178" t="s">
        <v>41</v>
      </c>
      <c r="Q178">
        <v>410.59</v>
      </c>
      <c r="R178">
        <v>23.24</v>
      </c>
      <c r="S178">
        <v>285.45999999999998</v>
      </c>
      <c r="T178">
        <v>12.35</v>
      </c>
      <c r="U178">
        <v>28546</v>
      </c>
    </row>
    <row r="179" spans="1:21" x14ac:dyDescent="0.25">
      <c r="A179" t="s">
        <v>330</v>
      </c>
      <c r="B179" t="s">
        <v>22</v>
      </c>
      <c r="C179" t="s">
        <v>23</v>
      </c>
      <c r="D179" t="s">
        <v>24</v>
      </c>
      <c r="E179" t="s">
        <v>25</v>
      </c>
      <c r="F179">
        <v>2</v>
      </c>
      <c r="G179" t="s">
        <v>292</v>
      </c>
      <c r="H179" s="2">
        <v>7</v>
      </c>
      <c r="I179" t="s">
        <v>27</v>
      </c>
      <c r="J179">
        <v>65</v>
      </c>
      <c r="K179" t="s">
        <v>292</v>
      </c>
      <c r="L179">
        <v>7</v>
      </c>
      <c r="M179" t="s">
        <v>28</v>
      </c>
      <c r="N179" t="s">
        <v>29</v>
      </c>
      <c r="O179" t="s">
        <v>329</v>
      </c>
      <c r="P179" t="s">
        <v>31</v>
      </c>
      <c r="Q179">
        <v>370.28</v>
      </c>
      <c r="R179">
        <v>20.96</v>
      </c>
      <c r="S179">
        <v>257.44</v>
      </c>
      <c r="T179">
        <v>12.31</v>
      </c>
      <c r="U179">
        <v>25744</v>
      </c>
    </row>
    <row r="180" spans="1:21" x14ac:dyDescent="0.25">
      <c r="A180" t="s">
        <v>47</v>
      </c>
      <c r="B180" t="s">
        <v>48</v>
      </c>
      <c r="C180" t="s">
        <v>49</v>
      </c>
      <c r="D180" t="s">
        <v>50</v>
      </c>
      <c r="E180" t="s">
        <v>51</v>
      </c>
      <c r="F180">
        <v>3</v>
      </c>
      <c r="G180" t="s">
        <v>26</v>
      </c>
      <c r="H180" s="2">
        <v>28</v>
      </c>
      <c r="I180" t="s">
        <v>27</v>
      </c>
      <c r="J180">
        <v>100</v>
      </c>
      <c r="K180" t="s">
        <v>26</v>
      </c>
      <c r="L180">
        <v>28</v>
      </c>
      <c r="M180" t="s">
        <v>28</v>
      </c>
      <c r="N180" t="s">
        <v>29</v>
      </c>
      <c r="O180" t="s">
        <v>52</v>
      </c>
      <c r="P180" t="s">
        <v>33</v>
      </c>
      <c r="Q180">
        <v>570.62</v>
      </c>
      <c r="R180">
        <v>32.299999999999997</v>
      </c>
      <c r="S180">
        <v>396.72</v>
      </c>
      <c r="T180">
        <v>12.38</v>
      </c>
      <c r="U180">
        <v>39672</v>
      </c>
    </row>
    <row r="181" spans="1:21" x14ac:dyDescent="0.25">
      <c r="A181" t="s">
        <v>47</v>
      </c>
      <c r="B181" t="s">
        <v>48</v>
      </c>
      <c r="C181" t="s">
        <v>49</v>
      </c>
      <c r="D181" t="s">
        <v>50</v>
      </c>
      <c r="E181" t="s">
        <v>51</v>
      </c>
      <c r="F181">
        <v>4</v>
      </c>
      <c r="G181" t="s">
        <v>26</v>
      </c>
      <c r="H181" s="2">
        <v>28</v>
      </c>
      <c r="I181" t="s">
        <v>27</v>
      </c>
      <c r="J181">
        <v>100</v>
      </c>
      <c r="K181" t="s">
        <v>26</v>
      </c>
      <c r="L181">
        <v>28</v>
      </c>
      <c r="M181" t="s">
        <v>28</v>
      </c>
      <c r="N181" t="s">
        <v>29</v>
      </c>
      <c r="O181" t="s">
        <v>52</v>
      </c>
      <c r="P181" t="s">
        <v>34</v>
      </c>
      <c r="Q181">
        <v>577.32000000000005</v>
      </c>
      <c r="R181">
        <v>32.68</v>
      </c>
      <c r="S181">
        <v>401.38</v>
      </c>
      <c r="T181">
        <v>12.18</v>
      </c>
      <c r="U181">
        <v>40138</v>
      </c>
    </row>
    <row r="182" spans="1:21" x14ac:dyDescent="0.25">
      <c r="A182" t="s">
        <v>53</v>
      </c>
      <c r="B182" t="s">
        <v>54</v>
      </c>
      <c r="C182" t="s">
        <v>55</v>
      </c>
      <c r="D182" t="s">
        <v>56</v>
      </c>
      <c r="E182" t="s">
        <v>51</v>
      </c>
      <c r="F182">
        <v>3</v>
      </c>
      <c r="G182" t="s">
        <v>26</v>
      </c>
      <c r="H182" s="2">
        <v>28</v>
      </c>
      <c r="I182" t="s">
        <v>27</v>
      </c>
      <c r="J182">
        <v>100</v>
      </c>
      <c r="K182" t="s">
        <v>26</v>
      </c>
      <c r="L182">
        <v>28</v>
      </c>
      <c r="M182" t="s">
        <v>28</v>
      </c>
      <c r="N182" t="s">
        <v>29</v>
      </c>
      <c r="O182" t="s">
        <v>57</v>
      </c>
      <c r="P182" t="s">
        <v>41</v>
      </c>
      <c r="Q182">
        <v>636.72</v>
      </c>
      <c r="R182">
        <v>36.04</v>
      </c>
      <c r="S182">
        <v>442.68</v>
      </c>
      <c r="T182">
        <v>12.36</v>
      </c>
      <c r="U182">
        <v>44268</v>
      </c>
    </row>
    <row r="183" spans="1:21" x14ac:dyDescent="0.25">
      <c r="A183" t="s">
        <v>53</v>
      </c>
      <c r="B183" t="s">
        <v>54</v>
      </c>
      <c r="C183" t="s">
        <v>55</v>
      </c>
      <c r="D183" t="s">
        <v>56</v>
      </c>
      <c r="E183" t="s">
        <v>51</v>
      </c>
      <c r="F183">
        <v>4</v>
      </c>
      <c r="G183" t="s">
        <v>26</v>
      </c>
      <c r="H183" s="2">
        <v>28</v>
      </c>
      <c r="I183" t="s">
        <v>27</v>
      </c>
      <c r="J183">
        <v>100</v>
      </c>
      <c r="K183" t="s">
        <v>26</v>
      </c>
      <c r="L183">
        <v>28</v>
      </c>
      <c r="M183" t="s">
        <v>28</v>
      </c>
      <c r="N183" t="s">
        <v>29</v>
      </c>
      <c r="O183" t="s">
        <v>57</v>
      </c>
      <c r="P183" t="s">
        <v>34</v>
      </c>
      <c r="Q183">
        <v>624.91999999999996</v>
      </c>
      <c r="R183">
        <v>35.369999999999997</v>
      </c>
      <c r="S183">
        <v>434.47</v>
      </c>
      <c r="T183">
        <v>12.43</v>
      </c>
      <c r="U183">
        <v>43447</v>
      </c>
    </row>
    <row r="184" spans="1:21" x14ac:dyDescent="0.25">
      <c r="A184" t="s">
        <v>58</v>
      </c>
      <c r="B184" t="s">
        <v>54</v>
      </c>
      <c r="C184" t="s">
        <v>55</v>
      </c>
      <c r="D184" t="s">
        <v>56</v>
      </c>
      <c r="E184" t="s">
        <v>51</v>
      </c>
      <c r="F184">
        <v>3</v>
      </c>
      <c r="G184" t="s">
        <v>26</v>
      </c>
      <c r="H184" s="2">
        <v>28</v>
      </c>
      <c r="I184" t="s">
        <v>27</v>
      </c>
      <c r="J184">
        <v>100</v>
      </c>
      <c r="K184" t="s">
        <v>26</v>
      </c>
      <c r="L184">
        <v>28</v>
      </c>
      <c r="M184" t="s">
        <v>28</v>
      </c>
      <c r="N184" t="s">
        <v>29</v>
      </c>
      <c r="O184" t="s">
        <v>57</v>
      </c>
      <c r="P184" t="s">
        <v>33</v>
      </c>
      <c r="Q184">
        <v>595.09</v>
      </c>
      <c r="R184">
        <v>33.68</v>
      </c>
      <c r="S184">
        <v>413.73</v>
      </c>
      <c r="T184">
        <v>12.43</v>
      </c>
      <c r="U184">
        <v>41373</v>
      </c>
    </row>
    <row r="185" spans="1:21" x14ac:dyDescent="0.25">
      <c r="A185" t="s">
        <v>58</v>
      </c>
      <c r="B185" t="s">
        <v>54</v>
      </c>
      <c r="C185" t="s">
        <v>55</v>
      </c>
      <c r="D185" t="s">
        <v>56</v>
      </c>
      <c r="E185" t="s">
        <v>51</v>
      </c>
      <c r="F185">
        <v>4</v>
      </c>
      <c r="G185" t="s">
        <v>26</v>
      </c>
      <c r="H185" s="2">
        <v>28</v>
      </c>
      <c r="I185" t="s">
        <v>27</v>
      </c>
      <c r="J185">
        <v>100</v>
      </c>
      <c r="K185" t="s">
        <v>26</v>
      </c>
      <c r="L185">
        <v>28</v>
      </c>
      <c r="M185" t="s">
        <v>28</v>
      </c>
      <c r="N185" t="s">
        <v>29</v>
      </c>
      <c r="O185" t="s">
        <v>57</v>
      </c>
      <c r="P185" t="s">
        <v>41</v>
      </c>
      <c r="Q185">
        <v>578.92999999999995</v>
      </c>
      <c r="R185">
        <v>32.76</v>
      </c>
      <c r="S185">
        <v>402.5</v>
      </c>
      <c r="T185">
        <v>12.42</v>
      </c>
      <c r="U185">
        <v>40250</v>
      </c>
    </row>
    <row r="186" spans="1:21" x14ac:dyDescent="0.25">
      <c r="A186" t="s">
        <v>59</v>
      </c>
      <c r="B186" t="s">
        <v>54</v>
      </c>
      <c r="C186" t="s">
        <v>55</v>
      </c>
      <c r="D186" t="s">
        <v>56</v>
      </c>
      <c r="E186" t="s">
        <v>51</v>
      </c>
      <c r="F186">
        <v>3</v>
      </c>
      <c r="G186" t="s">
        <v>26</v>
      </c>
      <c r="H186" s="2">
        <v>28</v>
      </c>
      <c r="I186" t="s">
        <v>27</v>
      </c>
      <c r="J186">
        <v>100</v>
      </c>
      <c r="K186" t="s">
        <v>26</v>
      </c>
      <c r="L186">
        <v>28</v>
      </c>
      <c r="M186" t="s">
        <v>28</v>
      </c>
      <c r="N186" t="s">
        <v>29</v>
      </c>
      <c r="O186" t="s">
        <v>60</v>
      </c>
      <c r="P186" t="s">
        <v>33</v>
      </c>
      <c r="Q186">
        <v>600.5</v>
      </c>
      <c r="R186">
        <v>33.99</v>
      </c>
      <c r="S186">
        <v>417.49</v>
      </c>
      <c r="T186">
        <v>12.18</v>
      </c>
      <c r="U186">
        <v>41749</v>
      </c>
    </row>
    <row r="187" spans="1:21" x14ac:dyDescent="0.25">
      <c r="A187" t="s">
        <v>59</v>
      </c>
      <c r="B187" t="s">
        <v>54</v>
      </c>
      <c r="C187" t="s">
        <v>55</v>
      </c>
      <c r="D187" t="s">
        <v>56</v>
      </c>
      <c r="E187" t="s">
        <v>51</v>
      </c>
      <c r="F187">
        <v>4</v>
      </c>
      <c r="G187" t="s">
        <v>26</v>
      </c>
      <c r="H187" s="2">
        <v>28</v>
      </c>
      <c r="I187" t="s">
        <v>27</v>
      </c>
      <c r="J187">
        <v>100</v>
      </c>
      <c r="K187" t="s">
        <v>26</v>
      </c>
      <c r="L187">
        <v>28</v>
      </c>
      <c r="M187" t="s">
        <v>28</v>
      </c>
      <c r="N187" t="s">
        <v>29</v>
      </c>
      <c r="O187" t="s">
        <v>60</v>
      </c>
      <c r="P187" t="s">
        <v>31</v>
      </c>
      <c r="Q187">
        <v>583.36</v>
      </c>
      <c r="R187">
        <v>33.020000000000003</v>
      </c>
      <c r="S187">
        <v>405.58</v>
      </c>
      <c r="T187">
        <v>12.29</v>
      </c>
      <c r="U187">
        <v>40558</v>
      </c>
    </row>
    <row r="188" spans="1:21" x14ac:dyDescent="0.25">
      <c r="A188" t="s">
        <v>61</v>
      </c>
      <c r="B188" t="s">
        <v>54</v>
      </c>
      <c r="C188" t="s">
        <v>55</v>
      </c>
      <c r="D188" t="s">
        <v>56</v>
      </c>
      <c r="E188" t="s">
        <v>51</v>
      </c>
      <c r="F188">
        <v>3</v>
      </c>
      <c r="G188" t="s">
        <v>26</v>
      </c>
      <c r="H188" s="2">
        <v>28</v>
      </c>
      <c r="I188" t="s">
        <v>27</v>
      </c>
      <c r="J188">
        <v>100</v>
      </c>
      <c r="K188" t="s">
        <v>26</v>
      </c>
      <c r="L188">
        <v>28</v>
      </c>
      <c r="M188" t="s">
        <v>28</v>
      </c>
      <c r="N188" t="s">
        <v>29</v>
      </c>
      <c r="O188" t="s">
        <v>60</v>
      </c>
      <c r="P188" t="s">
        <v>34</v>
      </c>
      <c r="Q188">
        <v>643.05999999999995</v>
      </c>
      <c r="R188">
        <v>36.4</v>
      </c>
      <c r="S188">
        <v>447.08</v>
      </c>
      <c r="T188">
        <v>12.39</v>
      </c>
      <c r="U188">
        <v>44708</v>
      </c>
    </row>
    <row r="189" spans="1:21" x14ac:dyDescent="0.25">
      <c r="A189" t="s">
        <v>61</v>
      </c>
      <c r="B189" t="s">
        <v>54</v>
      </c>
      <c r="C189" t="s">
        <v>55</v>
      </c>
      <c r="D189" t="s">
        <v>56</v>
      </c>
      <c r="E189" t="s">
        <v>51</v>
      </c>
      <c r="F189">
        <v>4</v>
      </c>
      <c r="G189" t="s">
        <v>26</v>
      </c>
      <c r="H189" s="2">
        <v>28</v>
      </c>
      <c r="I189" t="s">
        <v>27</v>
      </c>
      <c r="J189">
        <v>100</v>
      </c>
      <c r="K189" t="s">
        <v>26</v>
      </c>
      <c r="L189">
        <v>28</v>
      </c>
      <c r="M189" t="s">
        <v>28</v>
      </c>
      <c r="N189" t="s">
        <v>29</v>
      </c>
      <c r="O189" t="s">
        <v>60</v>
      </c>
      <c r="P189" t="s">
        <v>33</v>
      </c>
      <c r="Q189">
        <v>625.12</v>
      </c>
      <c r="R189">
        <v>35.380000000000003</v>
      </c>
      <c r="S189">
        <v>434.61</v>
      </c>
      <c r="T189">
        <v>12.2</v>
      </c>
      <c r="U189">
        <v>43461</v>
      </c>
    </row>
    <row r="190" spans="1:21" x14ac:dyDescent="0.25">
      <c r="A190" t="s">
        <v>62</v>
      </c>
      <c r="B190" t="s">
        <v>54</v>
      </c>
      <c r="C190" t="s">
        <v>55</v>
      </c>
      <c r="D190" t="s">
        <v>56</v>
      </c>
      <c r="E190" t="s">
        <v>51</v>
      </c>
      <c r="F190">
        <v>3</v>
      </c>
      <c r="G190" t="s">
        <v>26</v>
      </c>
      <c r="H190" s="2">
        <v>28</v>
      </c>
      <c r="I190" t="s">
        <v>27</v>
      </c>
      <c r="J190">
        <v>100</v>
      </c>
      <c r="K190" t="s">
        <v>26</v>
      </c>
      <c r="L190">
        <v>28</v>
      </c>
      <c r="M190" t="s">
        <v>28</v>
      </c>
      <c r="N190" t="s">
        <v>29</v>
      </c>
      <c r="O190" t="s">
        <v>63</v>
      </c>
      <c r="P190" t="s">
        <v>41</v>
      </c>
      <c r="Q190">
        <v>521.09</v>
      </c>
      <c r="R190">
        <v>29.49</v>
      </c>
      <c r="S190">
        <v>362.28</v>
      </c>
      <c r="T190">
        <v>12.44</v>
      </c>
      <c r="U190">
        <v>36228</v>
      </c>
    </row>
    <row r="191" spans="1:21" x14ac:dyDescent="0.25">
      <c r="A191" t="s">
        <v>62</v>
      </c>
      <c r="B191" t="s">
        <v>54</v>
      </c>
      <c r="C191" t="s">
        <v>55</v>
      </c>
      <c r="D191" t="s">
        <v>56</v>
      </c>
      <c r="E191" t="s">
        <v>51</v>
      </c>
      <c r="F191">
        <v>4</v>
      </c>
      <c r="G191" t="s">
        <v>26</v>
      </c>
      <c r="H191" s="2">
        <v>28</v>
      </c>
      <c r="I191" t="s">
        <v>27</v>
      </c>
      <c r="J191">
        <v>100</v>
      </c>
      <c r="K191" t="s">
        <v>26</v>
      </c>
      <c r="L191">
        <v>28</v>
      </c>
      <c r="M191" t="s">
        <v>28</v>
      </c>
      <c r="N191" t="s">
        <v>29</v>
      </c>
      <c r="O191" t="s">
        <v>63</v>
      </c>
      <c r="P191" t="s">
        <v>33</v>
      </c>
      <c r="Q191">
        <v>565.35</v>
      </c>
      <c r="R191">
        <v>32</v>
      </c>
      <c r="S191">
        <v>393.06</v>
      </c>
      <c r="T191">
        <v>12.44</v>
      </c>
      <c r="U191">
        <v>39306</v>
      </c>
    </row>
    <row r="192" spans="1:21" x14ac:dyDescent="0.25">
      <c r="A192" t="s">
        <v>64</v>
      </c>
      <c r="B192" t="s">
        <v>54</v>
      </c>
      <c r="C192" t="s">
        <v>55</v>
      </c>
      <c r="D192" t="s">
        <v>56</v>
      </c>
      <c r="E192" t="s">
        <v>51</v>
      </c>
      <c r="F192">
        <v>3</v>
      </c>
      <c r="G192" t="s">
        <v>26</v>
      </c>
      <c r="H192" s="2">
        <v>28</v>
      </c>
      <c r="I192" t="s">
        <v>27</v>
      </c>
      <c r="J192">
        <v>100</v>
      </c>
      <c r="K192" t="s">
        <v>26</v>
      </c>
      <c r="L192">
        <v>28</v>
      </c>
      <c r="M192" t="s">
        <v>28</v>
      </c>
      <c r="N192" t="s">
        <v>29</v>
      </c>
      <c r="O192" t="s">
        <v>63</v>
      </c>
      <c r="P192" t="s">
        <v>41</v>
      </c>
      <c r="Q192">
        <v>625.16</v>
      </c>
      <c r="R192">
        <v>35.380000000000003</v>
      </c>
      <c r="S192">
        <v>434.64</v>
      </c>
      <c r="T192">
        <v>12.11</v>
      </c>
      <c r="U192">
        <v>43464</v>
      </c>
    </row>
    <row r="193" spans="1:21" x14ac:dyDescent="0.25">
      <c r="A193" t="s">
        <v>64</v>
      </c>
      <c r="B193" t="s">
        <v>54</v>
      </c>
      <c r="C193" t="s">
        <v>55</v>
      </c>
      <c r="D193" t="s">
        <v>56</v>
      </c>
      <c r="E193" t="s">
        <v>51</v>
      </c>
      <c r="F193">
        <v>4</v>
      </c>
      <c r="G193" t="s">
        <v>26</v>
      </c>
      <c r="H193" s="2">
        <v>28</v>
      </c>
      <c r="I193" t="s">
        <v>27</v>
      </c>
      <c r="J193">
        <v>100</v>
      </c>
      <c r="K193" t="s">
        <v>26</v>
      </c>
      <c r="L193">
        <v>28</v>
      </c>
      <c r="M193" t="s">
        <v>28</v>
      </c>
      <c r="N193" t="s">
        <v>29</v>
      </c>
      <c r="O193" t="s">
        <v>63</v>
      </c>
      <c r="P193" t="s">
        <v>41</v>
      </c>
      <c r="Q193">
        <v>617.33000000000004</v>
      </c>
      <c r="R193">
        <v>34.94</v>
      </c>
      <c r="S193">
        <v>429.2</v>
      </c>
      <c r="T193">
        <v>12.21</v>
      </c>
      <c r="U193">
        <v>42920</v>
      </c>
    </row>
    <row r="194" spans="1:21" x14ac:dyDescent="0.25">
      <c r="A194" t="s">
        <v>65</v>
      </c>
      <c r="B194" t="s">
        <v>54</v>
      </c>
      <c r="C194" t="s">
        <v>55</v>
      </c>
      <c r="D194" t="s">
        <v>56</v>
      </c>
      <c r="E194" t="s">
        <v>51</v>
      </c>
      <c r="F194">
        <v>3</v>
      </c>
      <c r="G194" t="s">
        <v>26</v>
      </c>
      <c r="H194" s="2">
        <v>28</v>
      </c>
      <c r="I194" t="s">
        <v>27</v>
      </c>
      <c r="J194">
        <v>100</v>
      </c>
      <c r="K194" t="s">
        <v>26</v>
      </c>
      <c r="L194">
        <v>28</v>
      </c>
      <c r="M194" t="s">
        <v>28</v>
      </c>
      <c r="N194" t="s">
        <v>29</v>
      </c>
      <c r="O194" t="s">
        <v>66</v>
      </c>
      <c r="P194" t="s">
        <v>41</v>
      </c>
      <c r="Q194">
        <v>587.22</v>
      </c>
      <c r="R194">
        <v>33.229999999999997</v>
      </c>
      <c r="S194">
        <v>408.26</v>
      </c>
      <c r="T194">
        <v>12.25</v>
      </c>
      <c r="U194">
        <v>40826</v>
      </c>
    </row>
    <row r="195" spans="1:21" x14ac:dyDescent="0.25">
      <c r="A195" t="s">
        <v>65</v>
      </c>
      <c r="B195" t="s">
        <v>54</v>
      </c>
      <c r="C195" t="s">
        <v>55</v>
      </c>
      <c r="D195" t="s">
        <v>56</v>
      </c>
      <c r="E195" t="s">
        <v>51</v>
      </c>
      <c r="F195">
        <v>4</v>
      </c>
      <c r="G195" t="s">
        <v>26</v>
      </c>
      <c r="H195" s="2">
        <v>28</v>
      </c>
      <c r="I195" t="s">
        <v>27</v>
      </c>
      <c r="J195">
        <v>100</v>
      </c>
      <c r="K195" t="s">
        <v>26</v>
      </c>
      <c r="L195">
        <v>28</v>
      </c>
      <c r="M195" t="s">
        <v>28</v>
      </c>
      <c r="N195" t="s">
        <v>29</v>
      </c>
      <c r="O195" t="s">
        <v>66</v>
      </c>
      <c r="P195" t="s">
        <v>31</v>
      </c>
      <c r="Q195">
        <v>579.73</v>
      </c>
      <c r="R195">
        <v>32.81</v>
      </c>
      <c r="S195">
        <v>403.05</v>
      </c>
      <c r="T195">
        <v>12.46</v>
      </c>
      <c r="U195">
        <v>40305</v>
      </c>
    </row>
    <row r="196" spans="1:21" x14ac:dyDescent="0.25">
      <c r="A196" t="s">
        <v>67</v>
      </c>
      <c r="B196" t="s">
        <v>54</v>
      </c>
      <c r="C196" t="s">
        <v>55</v>
      </c>
      <c r="D196" t="s">
        <v>56</v>
      </c>
      <c r="E196" t="s">
        <v>51</v>
      </c>
      <c r="F196">
        <v>3</v>
      </c>
      <c r="G196" t="s">
        <v>26</v>
      </c>
      <c r="H196" s="2">
        <v>28</v>
      </c>
      <c r="I196" t="s">
        <v>27</v>
      </c>
      <c r="J196">
        <v>100</v>
      </c>
      <c r="K196" t="s">
        <v>26</v>
      </c>
      <c r="L196">
        <v>28</v>
      </c>
      <c r="M196" t="s">
        <v>28</v>
      </c>
      <c r="N196" t="s">
        <v>29</v>
      </c>
      <c r="O196" t="s">
        <v>66</v>
      </c>
      <c r="P196" t="s">
        <v>34</v>
      </c>
      <c r="Q196">
        <v>605.16999999999996</v>
      </c>
      <c r="R196">
        <v>34.25</v>
      </c>
      <c r="S196">
        <v>420.74</v>
      </c>
      <c r="T196">
        <v>12.38</v>
      </c>
      <c r="U196">
        <v>42074</v>
      </c>
    </row>
    <row r="197" spans="1:21" x14ac:dyDescent="0.25">
      <c r="A197" t="s">
        <v>67</v>
      </c>
      <c r="B197" t="s">
        <v>54</v>
      </c>
      <c r="C197" t="s">
        <v>55</v>
      </c>
      <c r="D197" t="s">
        <v>56</v>
      </c>
      <c r="E197" t="s">
        <v>51</v>
      </c>
      <c r="F197">
        <v>4</v>
      </c>
      <c r="G197" t="s">
        <v>26</v>
      </c>
      <c r="H197" s="2">
        <v>28</v>
      </c>
      <c r="I197" t="s">
        <v>27</v>
      </c>
      <c r="J197">
        <v>100</v>
      </c>
      <c r="K197" t="s">
        <v>26</v>
      </c>
      <c r="L197">
        <v>28</v>
      </c>
      <c r="M197" t="s">
        <v>28</v>
      </c>
      <c r="N197" t="s">
        <v>29</v>
      </c>
      <c r="O197" t="s">
        <v>66</v>
      </c>
      <c r="P197" t="s">
        <v>43</v>
      </c>
      <c r="Q197">
        <v>589.21</v>
      </c>
      <c r="R197">
        <v>33.35</v>
      </c>
      <c r="S197">
        <v>409.64</v>
      </c>
      <c r="T197">
        <v>12.41</v>
      </c>
      <c r="U197">
        <v>40964</v>
      </c>
    </row>
    <row r="198" spans="1:21" x14ac:dyDescent="0.25">
      <c r="A198" t="s">
        <v>68</v>
      </c>
      <c r="B198" t="s">
        <v>54</v>
      </c>
      <c r="C198" t="s">
        <v>55</v>
      </c>
      <c r="D198" t="s">
        <v>56</v>
      </c>
      <c r="E198" t="s">
        <v>51</v>
      </c>
      <c r="F198">
        <v>3</v>
      </c>
      <c r="G198" t="s">
        <v>26</v>
      </c>
      <c r="H198" s="2">
        <v>28</v>
      </c>
      <c r="I198" t="s">
        <v>27</v>
      </c>
      <c r="J198">
        <v>100</v>
      </c>
      <c r="K198" t="s">
        <v>26</v>
      </c>
      <c r="L198">
        <v>28</v>
      </c>
      <c r="M198" t="s">
        <v>28</v>
      </c>
      <c r="N198" t="s">
        <v>29</v>
      </c>
      <c r="O198" t="s">
        <v>69</v>
      </c>
      <c r="P198" t="s">
        <v>41</v>
      </c>
      <c r="Q198">
        <v>652.23</v>
      </c>
      <c r="R198">
        <v>36.92</v>
      </c>
      <c r="S198">
        <v>453.46</v>
      </c>
      <c r="T198">
        <v>12.18</v>
      </c>
      <c r="U198">
        <v>45346</v>
      </c>
    </row>
    <row r="199" spans="1:21" x14ac:dyDescent="0.25">
      <c r="A199" t="s">
        <v>68</v>
      </c>
      <c r="B199" t="s">
        <v>54</v>
      </c>
      <c r="C199" t="s">
        <v>55</v>
      </c>
      <c r="D199" t="s">
        <v>56</v>
      </c>
      <c r="E199" t="s">
        <v>51</v>
      </c>
      <c r="F199">
        <v>4</v>
      </c>
      <c r="G199" t="s">
        <v>26</v>
      </c>
      <c r="H199" s="2">
        <v>28</v>
      </c>
      <c r="I199" t="s">
        <v>27</v>
      </c>
      <c r="J199">
        <v>100</v>
      </c>
      <c r="K199" t="s">
        <v>26</v>
      </c>
      <c r="L199">
        <v>28</v>
      </c>
      <c r="M199" t="s">
        <v>28</v>
      </c>
      <c r="N199" t="s">
        <v>29</v>
      </c>
      <c r="O199" t="s">
        <v>69</v>
      </c>
      <c r="P199" t="s">
        <v>33</v>
      </c>
      <c r="Q199">
        <v>644.30999999999995</v>
      </c>
      <c r="R199">
        <v>36.47</v>
      </c>
      <c r="S199">
        <v>447.95</v>
      </c>
      <c r="T199">
        <v>12.18</v>
      </c>
      <c r="U199">
        <v>44795</v>
      </c>
    </row>
    <row r="200" spans="1:21" x14ac:dyDescent="0.25">
      <c r="A200" t="s">
        <v>70</v>
      </c>
      <c r="B200" t="s">
        <v>54</v>
      </c>
      <c r="C200" t="s">
        <v>55</v>
      </c>
      <c r="D200" t="s">
        <v>56</v>
      </c>
      <c r="E200" t="s">
        <v>51</v>
      </c>
      <c r="F200">
        <v>3</v>
      </c>
      <c r="G200" t="s">
        <v>26</v>
      </c>
      <c r="H200" s="2">
        <v>28</v>
      </c>
      <c r="I200" t="s">
        <v>27</v>
      </c>
      <c r="J200">
        <v>100</v>
      </c>
      <c r="K200" t="s">
        <v>26</v>
      </c>
      <c r="L200">
        <v>28</v>
      </c>
      <c r="M200" t="s">
        <v>28</v>
      </c>
      <c r="N200" t="s">
        <v>29</v>
      </c>
      <c r="O200" t="s">
        <v>69</v>
      </c>
      <c r="P200" t="s">
        <v>34</v>
      </c>
      <c r="Q200">
        <v>566.88</v>
      </c>
      <c r="R200">
        <v>32.090000000000003</v>
      </c>
      <c r="S200">
        <v>394.12</v>
      </c>
      <c r="T200">
        <v>12.49</v>
      </c>
      <c r="U200">
        <v>39412</v>
      </c>
    </row>
    <row r="201" spans="1:21" x14ac:dyDescent="0.25">
      <c r="A201" t="s">
        <v>70</v>
      </c>
      <c r="B201" t="s">
        <v>54</v>
      </c>
      <c r="C201" t="s">
        <v>55</v>
      </c>
      <c r="D201" t="s">
        <v>56</v>
      </c>
      <c r="E201" t="s">
        <v>51</v>
      </c>
      <c r="F201">
        <v>4</v>
      </c>
      <c r="G201" t="s">
        <v>26</v>
      </c>
      <c r="H201" s="2">
        <v>28</v>
      </c>
      <c r="I201" t="s">
        <v>27</v>
      </c>
      <c r="J201">
        <v>100</v>
      </c>
      <c r="K201" t="s">
        <v>26</v>
      </c>
      <c r="L201">
        <v>28</v>
      </c>
      <c r="M201" t="s">
        <v>28</v>
      </c>
      <c r="N201" t="s">
        <v>29</v>
      </c>
      <c r="O201" t="s">
        <v>69</v>
      </c>
      <c r="P201" t="s">
        <v>33</v>
      </c>
      <c r="Q201">
        <v>572.85</v>
      </c>
      <c r="R201">
        <v>32.42</v>
      </c>
      <c r="S201">
        <v>398.27</v>
      </c>
      <c r="T201">
        <v>12.17</v>
      </c>
      <c r="U201">
        <v>39827</v>
      </c>
    </row>
    <row r="202" spans="1:21" x14ac:dyDescent="0.25">
      <c r="A202" t="s">
        <v>84</v>
      </c>
      <c r="B202" t="s">
        <v>48</v>
      </c>
      <c r="C202" t="s">
        <v>49</v>
      </c>
      <c r="D202" t="s">
        <v>50</v>
      </c>
      <c r="E202" t="s">
        <v>51</v>
      </c>
      <c r="F202">
        <v>3</v>
      </c>
      <c r="G202" t="s">
        <v>72</v>
      </c>
      <c r="H202" s="2">
        <v>28</v>
      </c>
      <c r="I202" t="s">
        <v>27</v>
      </c>
      <c r="J202">
        <v>100</v>
      </c>
      <c r="K202" t="s">
        <v>72</v>
      </c>
      <c r="L202">
        <v>28</v>
      </c>
      <c r="M202" t="s">
        <v>28</v>
      </c>
      <c r="N202" t="s">
        <v>29</v>
      </c>
      <c r="O202" t="s">
        <v>85</v>
      </c>
      <c r="P202" t="s">
        <v>31</v>
      </c>
      <c r="Q202">
        <v>653.21</v>
      </c>
      <c r="R202">
        <v>36.97</v>
      </c>
      <c r="S202">
        <v>454.14</v>
      </c>
      <c r="T202">
        <v>12.39</v>
      </c>
      <c r="U202">
        <v>45414</v>
      </c>
    </row>
    <row r="203" spans="1:21" x14ac:dyDescent="0.25">
      <c r="A203" t="s">
        <v>84</v>
      </c>
      <c r="B203" t="s">
        <v>48</v>
      </c>
      <c r="C203" t="s">
        <v>49</v>
      </c>
      <c r="D203" t="s">
        <v>50</v>
      </c>
      <c r="E203" t="s">
        <v>51</v>
      </c>
      <c r="F203">
        <v>4</v>
      </c>
      <c r="G203" t="s">
        <v>72</v>
      </c>
      <c r="H203" s="2">
        <v>28</v>
      </c>
      <c r="I203" t="s">
        <v>27</v>
      </c>
      <c r="J203">
        <v>100</v>
      </c>
      <c r="K203" t="s">
        <v>72</v>
      </c>
      <c r="L203">
        <v>28</v>
      </c>
      <c r="M203" t="s">
        <v>28</v>
      </c>
      <c r="N203" t="s">
        <v>29</v>
      </c>
      <c r="O203" t="s">
        <v>85</v>
      </c>
      <c r="P203" t="s">
        <v>33</v>
      </c>
      <c r="Q203">
        <v>641.58000000000004</v>
      </c>
      <c r="R203">
        <v>36.31</v>
      </c>
      <c r="S203">
        <v>446.05</v>
      </c>
      <c r="T203">
        <v>12.1</v>
      </c>
      <c r="U203">
        <v>44605</v>
      </c>
    </row>
    <row r="204" spans="1:21" x14ac:dyDescent="0.25">
      <c r="A204" t="s">
        <v>86</v>
      </c>
      <c r="B204" t="s">
        <v>48</v>
      </c>
      <c r="C204" t="s">
        <v>49</v>
      </c>
      <c r="D204" t="s">
        <v>50</v>
      </c>
      <c r="E204" t="s">
        <v>51</v>
      </c>
      <c r="F204">
        <v>3</v>
      </c>
      <c r="G204" t="s">
        <v>72</v>
      </c>
      <c r="H204" s="2">
        <v>28</v>
      </c>
      <c r="I204" t="s">
        <v>27</v>
      </c>
      <c r="J204">
        <v>100</v>
      </c>
      <c r="K204" t="s">
        <v>72</v>
      </c>
      <c r="L204">
        <v>28</v>
      </c>
      <c r="M204" t="s">
        <v>28</v>
      </c>
      <c r="N204" t="s">
        <v>29</v>
      </c>
      <c r="O204" t="s">
        <v>85</v>
      </c>
      <c r="P204" t="s">
        <v>41</v>
      </c>
      <c r="Q204">
        <v>560.79</v>
      </c>
      <c r="R204">
        <v>31.74</v>
      </c>
      <c r="S204">
        <v>389.89</v>
      </c>
      <c r="T204">
        <v>12.37</v>
      </c>
      <c r="U204">
        <v>38989</v>
      </c>
    </row>
    <row r="205" spans="1:21" x14ac:dyDescent="0.25">
      <c r="A205" t="s">
        <v>86</v>
      </c>
      <c r="B205" t="s">
        <v>48</v>
      </c>
      <c r="C205" t="s">
        <v>49</v>
      </c>
      <c r="D205" t="s">
        <v>50</v>
      </c>
      <c r="E205" t="s">
        <v>51</v>
      </c>
      <c r="F205">
        <v>4</v>
      </c>
      <c r="G205" t="s">
        <v>72</v>
      </c>
      <c r="H205" s="2">
        <v>28</v>
      </c>
      <c r="I205" t="s">
        <v>27</v>
      </c>
      <c r="J205">
        <v>100</v>
      </c>
      <c r="K205" t="s">
        <v>72</v>
      </c>
      <c r="L205">
        <v>28</v>
      </c>
      <c r="M205" t="s">
        <v>28</v>
      </c>
      <c r="N205" t="s">
        <v>29</v>
      </c>
      <c r="O205" t="s">
        <v>85</v>
      </c>
      <c r="P205" t="s">
        <v>41</v>
      </c>
      <c r="Q205">
        <v>572.21</v>
      </c>
      <c r="R205">
        <v>32.39</v>
      </c>
      <c r="S205">
        <v>397.83</v>
      </c>
      <c r="T205">
        <v>12.22</v>
      </c>
      <c r="U205">
        <v>39783</v>
      </c>
    </row>
    <row r="206" spans="1:21" x14ac:dyDescent="0.25">
      <c r="A206" t="s">
        <v>118</v>
      </c>
      <c r="B206" t="s">
        <v>54</v>
      </c>
      <c r="C206" t="s">
        <v>55</v>
      </c>
      <c r="D206" t="s">
        <v>56</v>
      </c>
      <c r="E206" t="s">
        <v>51</v>
      </c>
      <c r="F206">
        <v>3</v>
      </c>
      <c r="G206" t="s">
        <v>108</v>
      </c>
      <c r="H206" s="2">
        <v>28</v>
      </c>
      <c r="I206" t="s">
        <v>27</v>
      </c>
      <c r="J206">
        <v>100</v>
      </c>
      <c r="K206" t="s">
        <v>108</v>
      </c>
      <c r="L206">
        <v>28</v>
      </c>
      <c r="M206" t="s">
        <v>28</v>
      </c>
      <c r="N206" t="s">
        <v>29</v>
      </c>
      <c r="O206" t="s">
        <v>119</v>
      </c>
      <c r="P206" t="s">
        <v>31</v>
      </c>
      <c r="Q206">
        <v>584.41</v>
      </c>
      <c r="R206">
        <v>33.08</v>
      </c>
      <c r="S206">
        <v>406.31</v>
      </c>
      <c r="T206">
        <v>12.14</v>
      </c>
      <c r="U206">
        <v>40631</v>
      </c>
    </row>
    <row r="207" spans="1:21" x14ac:dyDescent="0.25">
      <c r="A207" t="s">
        <v>118</v>
      </c>
      <c r="B207" t="s">
        <v>54</v>
      </c>
      <c r="C207" t="s">
        <v>55</v>
      </c>
      <c r="D207" t="s">
        <v>56</v>
      </c>
      <c r="E207" t="s">
        <v>51</v>
      </c>
      <c r="F207">
        <v>4</v>
      </c>
      <c r="G207" t="s">
        <v>108</v>
      </c>
      <c r="H207" s="2">
        <v>28</v>
      </c>
      <c r="I207" t="s">
        <v>27</v>
      </c>
      <c r="J207">
        <v>100</v>
      </c>
      <c r="K207" t="s">
        <v>108</v>
      </c>
      <c r="L207">
        <v>28</v>
      </c>
      <c r="M207" t="s">
        <v>28</v>
      </c>
      <c r="N207" t="s">
        <v>29</v>
      </c>
      <c r="O207" t="s">
        <v>119</v>
      </c>
      <c r="P207" t="s">
        <v>34</v>
      </c>
      <c r="Q207">
        <v>598.6</v>
      </c>
      <c r="R207">
        <v>33.880000000000003</v>
      </c>
      <c r="S207">
        <v>416.17</v>
      </c>
      <c r="T207">
        <v>12.18</v>
      </c>
      <c r="U207">
        <v>41617</v>
      </c>
    </row>
    <row r="208" spans="1:21" x14ac:dyDescent="0.25">
      <c r="A208" t="s">
        <v>120</v>
      </c>
      <c r="B208" t="s">
        <v>54</v>
      </c>
      <c r="C208" t="s">
        <v>55</v>
      </c>
      <c r="D208" t="s">
        <v>56</v>
      </c>
      <c r="E208" t="s">
        <v>51</v>
      </c>
      <c r="F208">
        <v>3</v>
      </c>
      <c r="G208" t="s">
        <v>108</v>
      </c>
      <c r="H208" s="2">
        <v>28</v>
      </c>
      <c r="I208" t="s">
        <v>27</v>
      </c>
      <c r="J208">
        <v>100</v>
      </c>
      <c r="K208" t="s">
        <v>108</v>
      </c>
      <c r="L208">
        <v>28</v>
      </c>
      <c r="M208" t="s">
        <v>28</v>
      </c>
      <c r="N208" t="s">
        <v>29</v>
      </c>
      <c r="O208" t="s">
        <v>119</v>
      </c>
      <c r="P208" t="s">
        <v>34</v>
      </c>
      <c r="Q208">
        <v>567.95000000000005</v>
      </c>
      <c r="R208">
        <v>32.14</v>
      </c>
      <c r="S208">
        <v>394.86</v>
      </c>
      <c r="T208">
        <v>12.21</v>
      </c>
      <c r="U208">
        <v>39486</v>
      </c>
    </row>
    <row r="209" spans="1:21" x14ac:dyDescent="0.25">
      <c r="A209" t="s">
        <v>120</v>
      </c>
      <c r="B209" t="s">
        <v>54</v>
      </c>
      <c r="C209" t="s">
        <v>55</v>
      </c>
      <c r="D209" t="s">
        <v>56</v>
      </c>
      <c r="E209" t="s">
        <v>51</v>
      </c>
      <c r="F209">
        <v>4</v>
      </c>
      <c r="G209" t="s">
        <v>108</v>
      </c>
      <c r="H209" s="2">
        <v>28</v>
      </c>
      <c r="I209" t="s">
        <v>27</v>
      </c>
      <c r="J209">
        <v>100</v>
      </c>
      <c r="K209" t="s">
        <v>108</v>
      </c>
      <c r="L209">
        <v>28</v>
      </c>
      <c r="M209" t="s">
        <v>28</v>
      </c>
      <c r="N209" t="s">
        <v>29</v>
      </c>
      <c r="O209" t="s">
        <v>119</v>
      </c>
      <c r="P209" t="s">
        <v>34</v>
      </c>
      <c r="Q209">
        <v>557.62</v>
      </c>
      <c r="R209">
        <v>31.56</v>
      </c>
      <c r="S209">
        <v>387.68</v>
      </c>
      <c r="T209">
        <v>12.27</v>
      </c>
      <c r="U209">
        <v>38768</v>
      </c>
    </row>
    <row r="210" spans="1:21" x14ac:dyDescent="0.25">
      <c r="A210" t="s">
        <v>129</v>
      </c>
      <c r="B210" t="s">
        <v>54</v>
      </c>
      <c r="C210" t="s">
        <v>55</v>
      </c>
      <c r="D210" t="s">
        <v>56</v>
      </c>
      <c r="E210" t="s">
        <v>51</v>
      </c>
      <c r="F210">
        <v>3</v>
      </c>
      <c r="G210" t="s">
        <v>122</v>
      </c>
      <c r="H210" s="2">
        <v>28</v>
      </c>
      <c r="I210" t="s">
        <v>27</v>
      </c>
      <c r="J210">
        <v>100</v>
      </c>
      <c r="K210" t="s">
        <v>122</v>
      </c>
      <c r="L210">
        <v>28</v>
      </c>
      <c r="M210" t="s">
        <v>28</v>
      </c>
      <c r="N210" t="s">
        <v>29</v>
      </c>
      <c r="O210" t="s">
        <v>130</v>
      </c>
      <c r="P210" t="s">
        <v>33</v>
      </c>
      <c r="Q210">
        <v>587.59</v>
      </c>
      <c r="R210">
        <v>33.26</v>
      </c>
      <c r="S210">
        <v>408.52</v>
      </c>
      <c r="T210">
        <v>12.48</v>
      </c>
      <c r="U210">
        <v>40852</v>
      </c>
    </row>
    <row r="211" spans="1:21" x14ac:dyDescent="0.25">
      <c r="A211" t="s">
        <v>129</v>
      </c>
      <c r="B211" t="s">
        <v>54</v>
      </c>
      <c r="C211" t="s">
        <v>55</v>
      </c>
      <c r="D211" t="s">
        <v>56</v>
      </c>
      <c r="E211" t="s">
        <v>51</v>
      </c>
      <c r="F211">
        <v>4</v>
      </c>
      <c r="G211" t="s">
        <v>122</v>
      </c>
      <c r="H211" s="2">
        <v>28</v>
      </c>
      <c r="I211" t="s">
        <v>27</v>
      </c>
      <c r="J211">
        <v>100</v>
      </c>
      <c r="K211" t="s">
        <v>122</v>
      </c>
      <c r="L211">
        <v>28</v>
      </c>
      <c r="M211" t="s">
        <v>28</v>
      </c>
      <c r="N211" t="s">
        <v>29</v>
      </c>
      <c r="O211" t="s">
        <v>130</v>
      </c>
      <c r="P211" t="s">
        <v>33</v>
      </c>
      <c r="Q211">
        <v>593.07000000000005</v>
      </c>
      <c r="R211">
        <v>33.57</v>
      </c>
      <c r="S211">
        <v>412.33</v>
      </c>
      <c r="T211">
        <v>12.13</v>
      </c>
      <c r="U211">
        <v>41233</v>
      </c>
    </row>
    <row r="212" spans="1:21" x14ac:dyDescent="0.25">
      <c r="A212" t="s">
        <v>131</v>
      </c>
      <c r="B212" t="s">
        <v>54</v>
      </c>
      <c r="C212" t="s">
        <v>55</v>
      </c>
      <c r="D212" t="s">
        <v>56</v>
      </c>
      <c r="E212" t="s">
        <v>51</v>
      </c>
      <c r="F212">
        <v>3</v>
      </c>
      <c r="G212" t="s">
        <v>122</v>
      </c>
      <c r="H212" s="2">
        <v>28</v>
      </c>
      <c r="I212" t="s">
        <v>27</v>
      </c>
      <c r="J212">
        <v>100</v>
      </c>
      <c r="K212" t="s">
        <v>122</v>
      </c>
      <c r="L212">
        <v>28</v>
      </c>
      <c r="M212" t="s">
        <v>28</v>
      </c>
      <c r="N212" t="s">
        <v>29</v>
      </c>
      <c r="O212" t="s">
        <v>130</v>
      </c>
      <c r="P212" t="s">
        <v>33</v>
      </c>
      <c r="Q212">
        <v>654.32000000000005</v>
      </c>
      <c r="R212">
        <v>37.04</v>
      </c>
      <c r="S212">
        <v>454.91</v>
      </c>
      <c r="T212">
        <v>12.22</v>
      </c>
      <c r="U212">
        <v>45491</v>
      </c>
    </row>
    <row r="213" spans="1:21" x14ac:dyDescent="0.25">
      <c r="A213" t="s">
        <v>131</v>
      </c>
      <c r="B213" t="s">
        <v>54</v>
      </c>
      <c r="C213" t="s">
        <v>55</v>
      </c>
      <c r="D213" t="s">
        <v>56</v>
      </c>
      <c r="E213" t="s">
        <v>51</v>
      </c>
      <c r="F213">
        <v>4</v>
      </c>
      <c r="G213" t="s">
        <v>122</v>
      </c>
      <c r="H213" s="2">
        <v>28</v>
      </c>
      <c r="I213" t="s">
        <v>27</v>
      </c>
      <c r="J213">
        <v>100</v>
      </c>
      <c r="K213" t="s">
        <v>122</v>
      </c>
      <c r="L213">
        <v>28</v>
      </c>
      <c r="M213" t="s">
        <v>28</v>
      </c>
      <c r="N213" t="s">
        <v>29</v>
      </c>
      <c r="O213" t="s">
        <v>130</v>
      </c>
      <c r="P213" t="s">
        <v>33</v>
      </c>
      <c r="Q213">
        <v>642.89</v>
      </c>
      <c r="R213">
        <v>36.39</v>
      </c>
      <c r="S213">
        <v>446.97</v>
      </c>
      <c r="T213">
        <v>12.21</v>
      </c>
      <c r="U213">
        <v>44697</v>
      </c>
    </row>
    <row r="214" spans="1:21" x14ac:dyDescent="0.25">
      <c r="A214" t="s">
        <v>132</v>
      </c>
      <c r="B214" t="s">
        <v>54</v>
      </c>
      <c r="C214" t="s">
        <v>55</v>
      </c>
      <c r="D214" t="s">
        <v>56</v>
      </c>
      <c r="E214" t="s">
        <v>51</v>
      </c>
      <c r="F214">
        <v>3</v>
      </c>
      <c r="G214" t="s">
        <v>122</v>
      </c>
      <c r="H214" s="2">
        <v>28</v>
      </c>
      <c r="I214" t="s">
        <v>27</v>
      </c>
      <c r="J214">
        <v>100</v>
      </c>
      <c r="K214" t="s">
        <v>122</v>
      </c>
      <c r="L214">
        <v>28</v>
      </c>
      <c r="M214" t="s">
        <v>28</v>
      </c>
      <c r="N214" t="s">
        <v>29</v>
      </c>
      <c r="O214" t="s">
        <v>133</v>
      </c>
      <c r="P214" t="s">
        <v>34</v>
      </c>
      <c r="Q214">
        <v>566.35</v>
      </c>
      <c r="R214">
        <v>32.06</v>
      </c>
      <c r="S214">
        <v>393.75</v>
      </c>
      <c r="T214">
        <v>12.42</v>
      </c>
      <c r="U214">
        <v>39375</v>
      </c>
    </row>
    <row r="215" spans="1:21" x14ac:dyDescent="0.25">
      <c r="A215" t="s">
        <v>132</v>
      </c>
      <c r="B215" t="s">
        <v>54</v>
      </c>
      <c r="C215" t="s">
        <v>55</v>
      </c>
      <c r="D215" t="s">
        <v>56</v>
      </c>
      <c r="E215" t="s">
        <v>51</v>
      </c>
      <c r="F215">
        <v>4</v>
      </c>
      <c r="G215" t="s">
        <v>122</v>
      </c>
      <c r="H215" s="2">
        <v>28</v>
      </c>
      <c r="I215" t="s">
        <v>27</v>
      </c>
      <c r="J215">
        <v>100</v>
      </c>
      <c r="K215" t="s">
        <v>122</v>
      </c>
      <c r="L215">
        <v>28</v>
      </c>
      <c r="M215" t="s">
        <v>28</v>
      </c>
      <c r="N215" t="s">
        <v>29</v>
      </c>
      <c r="O215" t="s">
        <v>133</v>
      </c>
      <c r="P215" t="s">
        <v>33</v>
      </c>
      <c r="Q215">
        <v>573.14</v>
      </c>
      <c r="R215">
        <v>32.44</v>
      </c>
      <c r="S215">
        <v>398.47</v>
      </c>
      <c r="T215">
        <v>12.35</v>
      </c>
      <c r="U215">
        <v>39847</v>
      </c>
    </row>
    <row r="216" spans="1:21" x14ac:dyDescent="0.25">
      <c r="A216" t="s">
        <v>134</v>
      </c>
      <c r="B216" t="s">
        <v>54</v>
      </c>
      <c r="C216" t="s">
        <v>55</v>
      </c>
      <c r="D216" t="s">
        <v>56</v>
      </c>
      <c r="E216" t="s">
        <v>51</v>
      </c>
      <c r="F216">
        <v>3</v>
      </c>
      <c r="G216" t="s">
        <v>122</v>
      </c>
      <c r="H216" s="2">
        <v>28</v>
      </c>
      <c r="I216" t="b">
        <v>0</v>
      </c>
      <c r="J216">
        <v>100</v>
      </c>
      <c r="K216" t="s">
        <v>122</v>
      </c>
      <c r="L216">
        <v>28</v>
      </c>
      <c r="M216" t="s">
        <v>28</v>
      </c>
      <c r="N216" t="s">
        <v>29</v>
      </c>
      <c r="O216" t="s">
        <v>133</v>
      </c>
      <c r="P216" t="s">
        <v>43</v>
      </c>
      <c r="Q216">
        <v>634.37</v>
      </c>
      <c r="R216">
        <v>35.909999999999997</v>
      </c>
      <c r="S216">
        <v>441.04</v>
      </c>
      <c r="T216">
        <v>12.31</v>
      </c>
      <c r="U216">
        <v>44104</v>
      </c>
    </row>
    <row r="217" spans="1:21" x14ac:dyDescent="0.25">
      <c r="A217" t="s">
        <v>134</v>
      </c>
      <c r="B217" t="s">
        <v>54</v>
      </c>
      <c r="C217" t="s">
        <v>55</v>
      </c>
      <c r="D217" t="s">
        <v>56</v>
      </c>
      <c r="E217" t="s">
        <v>51</v>
      </c>
      <c r="F217">
        <v>4</v>
      </c>
      <c r="G217" t="s">
        <v>122</v>
      </c>
      <c r="H217" s="2">
        <v>28</v>
      </c>
      <c r="I217" t="s">
        <v>27</v>
      </c>
      <c r="J217">
        <v>100</v>
      </c>
      <c r="K217" t="s">
        <v>122</v>
      </c>
      <c r="L217">
        <v>28</v>
      </c>
      <c r="M217" t="s">
        <v>28</v>
      </c>
      <c r="N217" t="s">
        <v>29</v>
      </c>
      <c r="O217" t="s">
        <v>133</v>
      </c>
      <c r="P217" t="s">
        <v>34</v>
      </c>
      <c r="Q217">
        <v>618.15</v>
      </c>
      <c r="R217">
        <v>34.99</v>
      </c>
      <c r="S217">
        <v>429.77</v>
      </c>
      <c r="T217">
        <v>12.37</v>
      </c>
      <c r="U217">
        <v>42977</v>
      </c>
    </row>
    <row r="218" spans="1:21" x14ac:dyDescent="0.25">
      <c r="A218" t="s">
        <v>140</v>
      </c>
      <c r="B218" t="s">
        <v>48</v>
      </c>
      <c r="C218" t="s">
        <v>49</v>
      </c>
      <c r="D218" t="s">
        <v>50</v>
      </c>
      <c r="E218" t="s">
        <v>51</v>
      </c>
      <c r="F218">
        <v>3</v>
      </c>
      <c r="G218" t="s">
        <v>136</v>
      </c>
      <c r="H218" s="2">
        <v>28</v>
      </c>
      <c r="I218" t="s">
        <v>27</v>
      </c>
      <c r="J218">
        <v>100</v>
      </c>
      <c r="K218" t="s">
        <v>136</v>
      </c>
      <c r="L218">
        <v>28</v>
      </c>
      <c r="M218" t="s">
        <v>28</v>
      </c>
      <c r="N218" t="s">
        <v>29</v>
      </c>
      <c r="O218" t="s">
        <v>141</v>
      </c>
      <c r="P218" t="s">
        <v>33</v>
      </c>
      <c r="Q218">
        <v>584.76</v>
      </c>
      <c r="R218">
        <v>33.090000000000003</v>
      </c>
      <c r="S218">
        <v>406.55</v>
      </c>
      <c r="T218">
        <v>12.19</v>
      </c>
      <c r="U218">
        <v>40655</v>
      </c>
    </row>
    <row r="219" spans="1:21" x14ac:dyDescent="0.25">
      <c r="A219" t="s">
        <v>140</v>
      </c>
      <c r="B219" t="s">
        <v>48</v>
      </c>
      <c r="C219" t="s">
        <v>49</v>
      </c>
      <c r="D219" t="s">
        <v>50</v>
      </c>
      <c r="E219" t="s">
        <v>51</v>
      </c>
      <c r="F219">
        <v>4</v>
      </c>
      <c r="G219" t="s">
        <v>136</v>
      </c>
      <c r="H219" s="2">
        <v>28</v>
      </c>
      <c r="I219" t="s">
        <v>27</v>
      </c>
      <c r="J219">
        <v>100</v>
      </c>
      <c r="K219" t="s">
        <v>136</v>
      </c>
      <c r="L219">
        <v>28</v>
      </c>
      <c r="M219" t="s">
        <v>28</v>
      </c>
      <c r="N219" t="s">
        <v>29</v>
      </c>
      <c r="O219" t="s">
        <v>141</v>
      </c>
      <c r="P219" t="s">
        <v>31</v>
      </c>
      <c r="Q219">
        <v>578.74</v>
      </c>
      <c r="R219">
        <v>32.75</v>
      </c>
      <c r="S219">
        <v>402.37</v>
      </c>
      <c r="T219">
        <v>12.38</v>
      </c>
      <c r="U219">
        <v>40237</v>
      </c>
    </row>
    <row r="220" spans="1:21" x14ac:dyDescent="0.25">
      <c r="A220" t="s">
        <v>142</v>
      </c>
      <c r="B220" t="s">
        <v>48</v>
      </c>
      <c r="C220" t="s">
        <v>49</v>
      </c>
      <c r="D220" t="s">
        <v>50</v>
      </c>
      <c r="E220" t="s">
        <v>51</v>
      </c>
      <c r="F220">
        <v>3</v>
      </c>
      <c r="G220" t="s">
        <v>136</v>
      </c>
      <c r="H220" s="2">
        <v>28</v>
      </c>
      <c r="I220" t="s">
        <v>27</v>
      </c>
      <c r="J220">
        <v>100</v>
      </c>
      <c r="K220" t="s">
        <v>136</v>
      </c>
      <c r="L220">
        <v>28</v>
      </c>
      <c r="M220" t="s">
        <v>28</v>
      </c>
      <c r="N220" t="s">
        <v>29</v>
      </c>
      <c r="O220" t="s">
        <v>141</v>
      </c>
      <c r="P220" t="s">
        <v>31</v>
      </c>
      <c r="Q220">
        <v>605.4</v>
      </c>
      <c r="R220">
        <v>34.270000000000003</v>
      </c>
      <c r="S220">
        <v>420.9</v>
      </c>
      <c r="T220">
        <v>12.22</v>
      </c>
      <c r="U220">
        <v>42090</v>
      </c>
    </row>
    <row r="221" spans="1:21" x14ac:dyDescent="0.25">
      <c r="A221" t="s">
        <v>142</v>
      </c>
      <c r="B221" t="s">
        <v>48</v>
      </c>
      <c r="C221" t="s">
        <v>49</v>
      </c>
      <c r="D221" t="s">
        <v>50</v>
      </c>
      <c r="E221" t="s">
        <v>51</v>
      </c>
      <c r="F221">
        <v>4</v>
      </c>
      <c r="G221" t="s">
        <v>136</v>
      </c>
      <c r="H221" s="2">
        <v>28</v>
      </c>
      <c r="I221" t="s">
        <v>27</v>
      </c>
      <c r="J221">
        <v>100</v>
      </c>
      <c r="K221" t="s">
        <v>136</v>
      </c>
      <c r="L221">
        <v>28</v>
      </c>
      <c r="M221" t="s">
        <v>28</v>
      </c>
      <c r="N221" t="s">
        <v>29</v>
      </c>
      <c r="O221" t="s">
        <v>141</v>
      </c>
      <c r="P221" t="s">
        <v>34</v>
      </c>
      <c r="Q221">
        <v>594.07000000000005</v>
      </c>
      <c r="R221">
        <v>33.630000000000003</v>
      </c>
      <c r="S221">
        <v>413.02</v>
      </c>
      <c r="T221">
        <v>12.38</v>
      </c>
      <c r="U221">
        <v>41302</v>
      </c>
    </row>
    <row r="222" spans="1:21" x14ac:dyDescent="0.25">
      <c r="A222" t="s">
        <v>166</v>
      </c>
      <c r="B222" t="s">
        <v>54</v>
      </c>
      <c r="C222" t="s">
        <v>55</v>
      </c>
      <c r="D222" t="s">
        <v>56</v>
      </c>
      <c r="E222" t="s">
        <v>51</v>
      </c>
      <c r="F222">
        <v>3</v>
      </c>
      <c r="G222" t="s">
        <v>145</v>
      </c>
      <c r="H222" s="2">
        <v>28</v>
      </c>
      <c r="I222" t="s">
        <v>27</v>
      </c>
      <c r="J222">
        <v>100</v>
      </c>
      <c r="K222" t="s">
        <v>145</v>
      </c>
      <c r="L222">
        <v>28</v>
      </c>
      <c r="M222" t="s">
        <v>28</v>
      </c>
      <c r="N222" t="s">
        <v>29</v>
      </c>
      <c r="O222" t="s">
        <v>167</v>
      </c>
      <c r="P222" t="s">
        <v>31</v>
      </c>
      <c r="Q222">
        <v>520</v>
      </c>
      <c r="R222">
        <v>29.43</v>
      </c>
      <c r="S222">
        <v>361.53</v>
      </c>
      <c r="T222">
        <v>12.49</v>
      </c>
      <c r="U222">
        <v>36153</v>
      </c>
    </row>
    <row r="223" spans="1:21" x14ac:dyDescent="0.25">
      <c r="A223" t="s">
        <v>166</v>
      </c>
      <c r="B223" t="s">
        <v>54</v>
      </c>
      <c r="C223" t="s">
        <v>55</v>
      </c>
      <c r="D223" t="s">
        <v>56</v>
      </c>
      <c r="E223" t="s">
        <v>51</v>
      </c>
      <c r="F223">
        <v>4</v>
      </c>
      <c r="G223" t="s">
        <v>145</v>
      </c>
      <c r="H223" s="2">
        <v>28</v>
      </c>
      <c r="I223" t="s">
        <v>27</v>
      </c>
      <c r="J223">
        <v>100</v>
      </c>
      <c r="K223" t="s">
        <v>145</v>
      </c>
      <c r="L223">
        <v>28</v>
      </c>
      <c r="M223" t="s">
        <v>28</v>
      </c>
      <c r="N223" t="s">
        <v>29</v>
      </c>
      <c r="O223" t="s">
        <v>167</v>
      </c>
      <c r="P223" t="s">
        <v>41</v>
      </c>
      <c r="Q223">
        <v>518.76</v>
      </c>
      <c r="R223">
        <v>29.36</v>
      </c>
      <c r="S223">
        <v>360.66</v>
      </c>
      <c r="T223">
        <v>12.36</v>
      </c>
      <c r="U223">
        <v>36066</v>
      </c>
    </row>
    <row r="224" spans="1:21" x14ac:dyDescent="0.25">
      <c r="A224" t="s">
        <v>168</v>
      </c>
      <c r="B224" t="s">
        <v>54</v>
      </c>
      <c r="C224" t="s">
        <v>55</v>
      </c>
      <c r="D224" t="s">
        <v>56</v>
      </c>
      <c r="E224" t="s">
        <v>51</v>
      </c>
      <c r="F224">
        <v>3</v>
      </c>
      <c r="G224" t="s">
        <v>145</v>
      </c>
      <c r="H224" s="2">
        <v>28</v>
      </c>
      <c r="I224" t="s">
        <v>27</v>
      </c>
      <c r="J224">
        <v>100</v>
      </c>
      <c r="K224" t="s">
        <v>145</v>
      </c>
      <c r="L224">
        <v>28</v>
      </c>
      <c r="M224" t="s">
        <v>28</v>
      </c>
      <c r="N224" t="s">
        <v>29</v>
      </c>
      <c r="O224" t="s">
        <v>167</v>
      </c>
      <c r="P224" t="s">
        <v>41</v>
      </c>
      <c r="Q224">
        <v>609.33000000000004</v>
      </c>
      <c r="R224">
        <v>34.49</v>
      </c>
      <c r="S224">
        <v>423.63</v>
      </c>
      <c r="T224">
        <v>12.2</v>
      </c>
      <c r="U224">
        <v>42363</v>
      </c>
    </row>
    <row r="225" spans="1:21" x14ac:dyDescent="0.25">
      <c r="A225" t="s">
        <v>168</v>
      </c>
      <c r="B225" t="s">
        <v>54</v>
      </c>
      <c r="C225" t="s">
        <v>55</v>
      </c>
      <c r="D225" t="s">
        <v>56</v>
      </c>
      <c r="E225" t="s">
        <v>51</v>
      </c>
      <c r="F225">
        <v>4</v>
      </c>
      <c r="G225" t="s">
        <v>145</v>
      </c>
      <c r="H225" s="2">
        <v>28</v>
      </c>
      <c r="I225" t="s">
        <v>27</v>
      </c>
      <c r="J225">
        <v>100</v>
      </c>
      <c r="K225" t="s">
        <v>145</v>
      </c>
      <c r="L225">
        <v>28</v>
      </c>
      <c r="M225" t="s">
        <v>28</v>
      </c>
      <c r="N225" t="s">
        <v>29</v>
      </c>
      <c r="O225" t="s">
        <v>167</v>
      </c>
      <c r="P225" t="s">
        <v>34</v>
      </c>
      <c r="Q225">
        <v>592.11</v>
      </c>
      <c r="R225">
        <v>33.51</v>
      </c>
      <c r="S225">
        <v>411.66</v>
      </c>
      <c r="T225">
        <v>12.39</v>
      </c>
      <c r="U225">
        <v>41166</v>
      </c>
    </row>
    <row r="226" spans="1:21" x14ac:dyDescent="0.25">
      <c r="A226" t="s">
        <v>169</v>
      </c>
      <c r="B226" t="s">
        <v>54</v>
      </c>
      <c r="C226" t="s">
        <v>55</v>
      </c>
      <c r="D226" t="s">
        <v>56</v>
      </c>
      <c r="E226" t="s">
        <v>51</v>
      </c>
      <c r="F226">
        <v>3</v>
      </c>
      <c r="G226" t="s">
        <v>145</v>
      </c>
      <c r="H226" s="2">
        <v>28</v>
      </c>
      <c r="I226" t="s">
        <v>27</v>
      </c>
      <c r="J226">
        <v>100</v>
      </c>
      <c r="K226" t="s">
        <v>145</v>
      </c>
      <c r="L226">
        <v>28</v>
      </c>
      <c r="M226" t="s">
        <v>28</v>
      </c>
      <c r="N226" t="s">
        <v>29</v>
      </c>
      <c r="O226" t="s">
        <v>167</v>
      </c>
      <c r="P226" t="s">
        <v>33</v>
      </c>
      <c r="Q226">
        <v>556.16</v>
      </c>
      <c r="R226">
        <v>31.47</v>
      </c>
      <c r="S226">
        <v>386.67</v>
      </c>
      <c r="T226">
        <v>12.4</v>
      </c>
      <c r="U226">
        <v>38667</v>
      </c>
    </row>
    <row r="227" spans="1:21" x14ac:dyDescent="0.25">
      <c r="A227" t="s">
        <v>169</v>
      </c>
      <c r="B227" t="s">
        <v>54</v>
      </c>
      <c r="C227" t="s">
        <v>55</v>
      </c>
      <c r="D227" t="s">
        <v>56</v>
      </c>
      <c r="E227" t="s">
        <v>51</v>
      </c>
      <c r="F227">
        <v>4</v>
      </c>
      <c r="G227" t="s">
        <v>145</v>
      </c>
      <c r="H227" s="2">
        <v>28</v>
      </c>
      <c r="I227" t="s">
        <v>27</v>
      </c>
      <c r="J227">
        <v>100</v>
      </c>
      <c r="K227" t="s">
        <v>145</v>
      </c>
      <c r="L227">
        <v>28</v>
      </c>
      <c r="M227" t="s">
        <v>28</v>
      </c>
      <c r="N227" t="s">
        <v>29</v>
      </c>
      <c r="O227" t="s">
        <v>167</v>
      </c>
      <c r="P227" t="s">
        <v>41</v>
      </c>
      <c r="Q227">
        <v>645.72</v>
      </c>
      <c r="R227">
        <v>36.549999999999997</v>
      </c>
      <c r="S227">
        <v>448.93</v>
      </c>
      <c r="T227">
        <v>12.4</v>
      </c>
      <c r="U227">
        <v>44893</v>
      </c>
    </row>
    <row r="228" spans="1:21" x14ac:dyDescent="0.25">
      <c r="A228" t="s">
        <v>170</v>
      </c>
      <c r="B228" t="s">
        <v>54</v>
      </c>
      <c r="C228" t="s">
        <v>55</v>
      </c>
      <c r="D228" t="s">
        <v>56</v>
      </c>
      <c r="E228" t="s">
        <v>51</v>
      </c>
      <c r="F228">
        <v>3</v>
      </c>
      <c r="G228" t="s">
        <v>145</v>
      </c>
      <c r="H228" s="2">
        <v>28</v>
      </c>
      <c r="I228" t="s">
        <v>27</v>
      </c>
      <c r="J228">
        <v>100</v>
      </c>
      <c r="K228" t="s">
        <v>145</v>
      </c>
      <c r="L228">
        <v>28</v>
      </c>
      <c r="M228" t="s">
        <v>28</v>
      </c>
      <c r="N228" t="s">
        <v>29</v>
      </c>
      <c r="O228" t="s">
        <v>171</v>
      </c>
      <c r="P228" t="s">
        <v>33</v>
      </c>
      <c r="Q228">
        <v>565.04</v>
      </c>
      <c r="R228">
        <v>31.98</v>
      </c>
      <c r="S228">
        <v>392.84</v>
      </c>
      <c r="T228">
        <v>12.4</v>
      </c>
      <c r="U228">
        <v>39284</v>
      </c>
    </row>
    <row r="229" spans="1:21" x14ac:dyDescent="0.25">
      <c r="A229" t="s">
        <v>170</v>
      </c>
      <c r="B229" t="s">
        <v>54</v>
      </c>
      <c r="C229" t="s">
        <v>55</v>
      </c>
      <c r="D229" t="s">
        <v>56</v>
      </c>
      <c r="E229" t="s">
        <v>51</v>
      </c>
      <c r="F229">
        <v>4</v>
      </c>
      <c r="G229" t="s">
        <v>145</v>
      </c>
      <c r="H229" s="2">
        <v>28</v>
      </c>
      <c r="I229" t="s">
        <v>27</v>
      </c>
      <c r="J229">
        <v>100</v>
      </c>
      <c r="K229" t="s">
        <v>145</v>
      </c>
      <c r="L229">
        <v>28</v>
      </c>
      <c r="M229" t="s">
        <v>28</v>
      </c>
      <c r="N229" t="s">
        <v>29</v>
      </c>
      <c r="O229" t="s">
        <v>171</v>
      </c>
      <c r="P229" t="s">
        <v>43</v>
      </c>
      <c r="Q229">
        <v>570.97</v>
      </c>
      <c r="R229">
        <v>32.32</v>
      </c>
      <c r="S229">
        <v>396.96</v>
      </c>
      <c r="T229">
        <v>12.16</v>
      </c>
      <c r="U229">
        <v>39696</v>
      </c>
    </row>
    <row r="230" spans="1:21" x14ac:dyDescent="0.25">
      <c r="A230" t="s">
        <v>172</v>
      </c>
      <c r="B230" t="s">
        <v>54</v>
      </c>
      <c r="C230" t="s">
        <v>55</v>
      </c>
      <c r="D230" t="s">
        <v>56</v>
      </c>
      <c r="E230" t="s">
        <v>51</v>
      </c>
      <c r="F230">
        <v>3</v>
      </c>
      <c r="G230" t="s">
        <v>145</v>
      </c>
      <c r="H230" s="2">
        <v>28</v>
      </c>
      <c r="I230" t="s">
        <v>27</v>
      </c>
      <c r="J230">
        <v>100</v>
      </c>
      <c r="K230" t="s">
        <v>145</v>
      </c>
      <c r="L230">
        <v>28</v>
      </c>
      <c r="M230" t="s">
        <v>28</v>
      </c>
      <c r="N230" t="s">
        <v>29</v>
      </c>
      <c r="O230" t="s">
        <v>171</v>
      </c>
      <c r="P230" t="s">
        <v>41</v>
      </c>
      <c r="Q230">
        <v>635.57000000000005</v>
      </c>
      <c r="R230">
        <v>35.97</v>
      </c>
      <c r="S230">
        <v>441.88</v>
      </c>
      <c r="T230">
        <v>12.36</v>
      </c>
      <c r="U230">
        <v>44188</v>
      </c>
    </row>
    <row r="231" spans="1:21" x14ac:dyDescent="0.25">
      <c r="A231" t="s">
        <v>172</v>
      </c>
      <c r="B231" t="s">
        <v>54</v>
      </c>
      <c r="C231" t="s">
        <v>55</v>
      </c>
      <c r="D231" t="s">
        <v>56</v>
      </c>
      <c r="E231" t="s">
        <v>51</v>
      </c>
      <c r="F231">
        <v>4</v>
      </c>
      <c r="G231" t="s">
        <v>145</v>
      </c>
      <c r="H231" s="2">
        <v>28</v>
      </c>
      <c r="I231" t="s">
        <v>27</v>
      </c>
      <c r="J231">
        <v>100</v>
      </c>
      <c r="K231" t="s">
        <v>145</v>
      </c>
      <c r="L231">
        <v>28</v>
      </c>
      <c r="M231" t="s">
        <v>28</v>
      </c>
      <c r="N231" t="s">
        <v>29</v>
      </c>
      <c r="O231" t="s">
        <v>171</v>
      </c>
      <c r="P231" t="s">
        <v>31</v>
      </c>
      <c r="Q231">
        <v>621.30999999999995</v>
      </c>
      <c r="R231">
        <v>35.17</v>
      </c>
      <c r="S231">
        <v>431.96</v>
      </c>
      <c r="T231">
        <v>12.39</v>
      </c>
      <c r="U231">
        <v>43196</v>
      </c>
    </row>
    <row r="232" spans="1:21" x14ac:dyDescent="0.25">
      <c r="A232" t="s">
        <v>187</v>
      </c>
      <c r="B232" t="s">
        <v>48</v>
      </c>
      <c r="C232" t="s">
        <v>49</v>
      </c>
      <c r="D232" t="s">
        <v>50</v>
      </c>
      <c r="E232" t="s">
        <v>51</v>
      </c>
      <c r="F232">
        <v>3</v>
      </c>
      <c r="G232" t="s">
        <v>174</v>
      </c>
      <c r="H232" s="2">
        <v>28</v>
      </c>
      <c r="I232" t="s">
        <v>27</v>
      </c>
      <c r="J232">
        <v>100</v>
      </c>
      <c r="K232" t="s">
        <v>174</v>
      </c>
      <c r="L232">
        <v>28</v>
      </c>
      <c r="M232" t="s">
        <v>28</v>
      </c>
      <c r="N232" t="s">
        <v>29</v>
      </c>
      <c r="O232" t="s">
        <v>188</v>
      </c>
      <c r="P232" t="s">
        <v>33</v>
      </c>
      <c r="Q232">
        <v>563.34</v>
      </c>
      <c r="R232">
        <v>31.88</v>
      </c>
      <c r="S232">
        <v>391.66</v>
      </c>
      <c r="T232">
        <v>12.18</v>
      </c>
      <c r="U232">
        <v>39166</v>
      </c>
    </row>
    <row r="233" spans="1:21" x14ac:dyDescent="0.25">
      <c r="A233" t="s">
        <v>187</v>
      </c>
      <c r="B233" t="s">
        <v>48</v>
      </c>
      <c r="C233" t="s">
        <v>49</v>
      </c>
      <c r="D233" t="s">
        <v>50</v>
      </c>
      <c r="E233" t="s">
        <v>51</v>
      </c>
      <c r="F233">
        <v>4</v>
      </c>
      <c r="G233" t="s">
        <v>174</v>
      </c>
      <c r="H233" s="2">
        <v>28</v>
      </c>
      <c r="I233" t="s">
        <v>27</v>
      </c>
      <c r="J233">
        <v>100</v>
      </c>
      <c r="K233" t="s">
        <v>174</v>
      </c>
      <c r="L233">
        <v>28</v>
      </c>
      <c r="M233" t="s">
        <v>28</v>
      </c>
      <c r="N233" t="s">
        <v>29</v>
      </c>
      <c r="O233" t="s">
        <v>188</v>
      </c>
      <c r="P233" t="s">
        <v>33</v>
      </c>
      <c r="Q233">
        <v>646.73</v>
      </c>
      <c r="R233">
        <v>36.61</v>
      </c>
      <c r="S233">
        <v>449.64</v>
      </c>
      <c r="T233">
        <v>12.48</v>
      </c>
      <c r="U233">
        <v>44964</v>
      </c>
    </row>
    <row r="234" spans="1:21" x14ac:dyDescent="0.25">
      <c r="A234" t="s">
        <v>189</v>
      </c>
      <c r="B234" t="s">
        <v>48</v>
      </c>
      <c r="C234" t="s">
        <v>49</v>
      </c>
      <c r="D234" t="s">
        <v>50</v>
      </c>
      <c r="E234" t="s">
        <v>51</v>
      </c>
      <c r="F234">
        <v>3</v>
      </c>
      <c r="G234" t="s">
        <v>174</v>
      </c>
      <c r="H234" s="2">
        <v>28</v>
      </c>
      <c r="I234" t="s">
        <v>27</v>
      </c>
      <c r="J234">
        <v>100</v>
      </c>
      <c r="K234" t="s">
        <v>174</v>
      </c>
      <c r="L234">
        <v>28</v>
      </c>
      <c r="M234" t="s">
        <v>28</v>
      </c>
      <c r="N234" t="s">
        <v>29</v>
      </c>
      <c r="O234" t="s">
        <v>188</v>
      </c>
      <c r="P234" t="s">
        <v>41</v>
      </c>
      <c r="Q234">
        <v>570.25</v>
      </c>
      <c r="R234">
        <v>32.28</v>
      </c>
      <c r="S234">
        <v>396.46</v>
      </c>
      <c r="T234">
        <v>12.37</v>
      </c>
      <c r="U234">
        <v>39646</v>
      </c>
    </row>
    <row r="235" spans="1:21" x14ac:dyDescent="0.25">
      <c r="A235" t="s">
        <v>189</v>
      </c>
      <c r="B235" t="s">
        <v>48</v>
      </c>
      <c r="C235" t="s">
        <v>49</v>
      </c>
      <c r="D235" t="s">
        <v>50</v>
      </c>
      <c r="E235" t="s">
        <v>51</v>
      </c>
      <c r="F235">
        <v>4</v>
      </c>
      <c r="G235" t="s">
        <v>174</v>
      </c>
      <c r="H235" s="2">
        <v>28</v>
      </c>
      <c r="I235" t="s">
        <v>27</v>
      </c>
      <c r="J235">
        <v>100</v>
      </c>
      <c r="K235" t="s">
        <v>174</v>
      </c>
      <c r="L235">
        <v>28</v>
      </c>
      <c r="M235" t="s">
        <v>28</v>
      </c>
      <c r="N235" t="s">
        <v>29</v>
      </c>
      <c r="O235" t="s">
        <v>188</v>
      </c>
      <c r="P235" t="s">
        <v>41</v>
      </c>
      <c r="Q235">
        <v>583.44000000000005</v>
      </c>
      <c r="R235">
        <v>33.020000000000003</v>
      </c>
      <c r="S235">
        <v>405.63</v>
      </c>
      <c r="T235">
        <v>12.15</v>
      </c>
      <c r="U235">
        <v>40563</v>
      </c>
    </row>
    <row r="236" spans="1:21" x14ac:dyDescent="0.25">
      <c r="A236" t="s">
        <v>190</v>
      </c>
      <c r="B236" t="s">
        <v>191</v>
      </c>
      <c r="C236" t="s">
        <v>55</v>
      </c>
      <c r="D236" t="s">
        <v>56</v>
      </c>
      <c r="E236" t="s">
        <v>51</v>
      </c>
      <c r="F236">
        <v>3</v>
      </c>
      <c r="G236" t="s">
        <v>174</v>
      </c>
      <c r="H236" s="2">
        <v>28</v>
      </c>
      <c r="I236" t="s">
        <v>27</v>
      </c>
      <c r="J236">
        <v>100</v>
      </c>
      <c r="K236" t="s">
        <v>174</v>
      </c>
      <c r="L236">
        <v>28</v>
      </c>
      <c r="M236" t="s">
        <v>28</v>
      </c>
      <c r="N236" t="s">
        <v>29</v>
      </c>
      <c r="O236" t="s">
        <v>192</v>
      </c>
      <c r="P236" t="s">
        <v>41</v>
      </c>
      <c r="Q236">
        <v>647.64</v>
      </c>
      <c r="R236">
        <v>36.659999999999997</v>
      </c>
      <c r="S236">
        <v>450.27</v>
      </c>
      <c r="T236">
        <v>12.37</v>
      </c>
      <c r="U236">
        <v>45027</v>
      </c>
    </row>
    <row r="237" spans="1:21" x14ac:dyDescent="0.25">
      <c r="A237" t="s">
        <v>190</v>
      </c>
      <c r="B237" t="s">
        <v>191</v>
      </c>
      <c r="C237" t="s">
        <v>55</v>
      </c>
      <c r="D237" t="s">
        <v>56</v>
      </c>
      <c r="E237" t="s">
        <v>51</v>
      </c>
      <c r="F237">
        <v>4</v>
      </c>
      <c r="G237" t="s">
        <v>174</v>
      </c>
      <c r="H237" s="2">
        <v>28</v>
      </c>
      <c r="I237" t="s">
        <v>27</v>
      </c>
      <c r="J237">
        <v>100</v>
      </c>
      <c r="K237" t="s">
        <v>174</v>
      </c>
      <c r="L237">
        <v>28</v>
      </c>
      <c r="M237" t="s">
        <v>28</v>
      </c>
      <c r="N237" t="s">
        <v>29</v>
      </c>
      <c r="O237" t="s">
        <v>192</v>
      </c>
      <c r="P237" t="s">
        <v>33</v>
      </c>
      <c r="Q237">
        <v>634</v>
      </c>
      <c r="R237">
        <v>35.89</v>
      </c>
      <c r="S237">
        <v>440.78</v>
      </c>
      <c r="T237">
        <v>12.14</v>
      </c>
      <c r="U237">
        <v>44078</v>
      </c>
    </row>
    <row r="238" spans="1:21" x14ac:dyDescent="0.25">
      <c r="A238" t="s">
        <v>193</v>
      </c>
      <c r="B238" t="s">
        <v>191</v>
      </c>
      <c r="C238" t="s">
        <v>55</v>
      </c>
      <c r="D238" t="s">
        <v>56</v>
      </c>
      <c r="E238" t="s">
        <v>51</v>
      </c>
      <c r="F238">
        <v>3</v>
      </c>
      <c r="G238" t="s">
        <v>174</v>
      </c>
      <c r="H238" s="2">
        <v>28</v>
      </c>
      <c r="I238" t="s">
        <v>27</v>
      </c>
      <c r="J238">
        <v>100</v>
      </c>
      <c r="K238" t="s">
        <v>174</v>
      </c>
      <c r="L238">
        <v>28</v>
      </c>
      <c r="M238" t="s">
        <v>28</v>
      </c>
      <c r="N238" t="s">
        <v>29</v>
      </c>
      <c r="O238" t="s">
        <v>192</v>
      </c>
      <c r="P238" t="s">
        <v>34</v>
      </c>
      <c r="Q238">
        <v>555.91999999999996</v>
      </c>
      <c r="R238">
        <v>31.47</v>
      </c>
      <c r="S238">
        <v>386.5</v>
      </c>
      <c r="T238">
        <v>12.12</v>
      </c>
      <c r="U238">
        <v>38650</v>
      </c>
    </row>
    <row r="239" spans="1:21" x14ac:dyDescent="0.25">
      <c r="A239" t="s">
        <v>193</v>
      </c>
      <c r="B239" t="s">
        <v>191</v>
      </c>
      <c r="C239" t="s">
        <v>55</v>
      </c>
      <c r="D239" t="s">
        <v>56</v>
      </c>
      <c r="E239" t="s">
        <v>51</v>
      </c>
      <c r="F239">
        <v>4</v>
      </c>
      <c r="G239" t="s">
        <v>174</v>
      </c>
      <c r="H239" s="2">
        <v>28</v>
      </c>
      <c r="I239" t="s">
        <v>27</v>
      </c>
      <c r="J239">
        <v>100</v>
      </c>
      <c r="K239" t="s">
        <v>174</v>
      </c>
      <c r="L239">
        <v>28</v>
      </c>
      <c r="M239" t="s">
        <v>28</v>
      </c>
      <c r="N239" t="s">
        <v>29</v>
      </c>
      <c r="O239" t="s">
        <v>192</v>
      </c>
      <c r="P239" t="s">
        <v>34</v>
      </c>
      <c r="Q239">
        <v>568.91999999999996</v>
      </c>
      <c r="R239">
        <v>32.200000000000003</v>
      </c>
      <c r="S239">
        <v>395.54</v>
      </c>
      <c r="T239">
        <v>12.49</v>
      </c>
      <c r="U239">
        <v>39554</v>
      </c>
    </row>
    <row r="240" spans="1:21" x14ac:dyDescent="0.25">
      <c r="A240" t="s">
        <v>194</v>
      </c>
      <c r="B240" t="s">
        <v>191</v>
      </c>
      <c r="C240" t="s">
        <v>55</v>
      </c>
      <c r="D240" t="s">
        <v>56</v>
      </c>
      <c r="E240" t="s">
        <v>51</v>
      </c>
      <c r="F240">
        <v>3</v>
      </c>
      <c r="G240" t="s">
        <v>174</v>
      </c>
      <c r="H240" s="2">
        <v>28</v>
      </c>
      <c r="I240" t="s">
        <v>27</v>
      </c>
      <c r="J240">
        <v>100</v>
      </c>
      <c r="K240" t="s">
        <v>174</v>
      </c>
      <c r="L240">
        <v>28</v>
      </c>
      <c r="M240" t="s">
        <v>28</v>
      </c>
      <c r="N240" t="s">
        <v>29</v>
      </c>
      <c r="O240" t="s">
        <v>195</v>
      </c>
      <c r="P240" t="s">
        <v>41</v>
      </c>
      <c r="Q240">
        <v>628.19000000000005</v>
      </c>
      <c r="R240">
        <v>35.56</v>
      </c>
      <c r="S240">
        <v>436.75</v>
      </c>
      <c r="T240">
        <v>12.23</v>
      </c>
      <c r="U240">
        <v>43675</v>
      </c>
    </row>
    <row r="241" spans="1:21" x14ac:dyDescent="0.25">
      <c r="A241" t="s">
        <v>194</v>
      </c>
      <c r="B241" t="s">
        <v>191</v>
      </c>
      <c r="C241" t="s">
        <v>55</v>
      </c>
      <c r="D241" t="s">
        <v>56</v>
      </c>
      <c r="E241" t="s">
        <v>51</v>
      </c>
      <c r="F241">
        <v>4</v>
      </c>
      <c r="G241" t="s">
        <v>174</v>
      </c>
      <c r="H241" s="2">
        <v>28</v>
      </c>
      <c r="I241" t="s">
        <v>27</v>
      </c>
      <c r="J241">
        <v>100</v>
      </c>
      <c r="K241" t="s">
        <v>174</v>
      </c>
      <c r="L241">
        <v>28</v>
      </c>
      <c r="M241" t="s">
        <v>28</v>
      </c>
      <c r="N241" t="s">
        <v>29</v>
      </c>
      <c r="O241" t="s">
        <v>195</v>
      </c>
      <c r="P241" t="s">
        <v>33</v>
      </c>
      <c r="Q241">
        <v>610.54999999999995</v>
      </c>
      <c r="R241">
        <v>34.56</v>
      </c>
      <c r="S241">
        <v>424.48</v>
      </c>
      <c r="T241">
        <v>12.43</v>
      </c>
      <c r="U241">
        <v>42448</v>
      </c>
    </row>
    <row r="242" spans="1:21" x14ac:dyDescent="0.25">
      <c r="A242" t="s">
        <v>196</v>
      </c>
      <c r="B242" t="s">
        <v>191</v>
      </c>
      <c r="C242" t="s">
        <v>55</v>
      </c>
      <c r="D242" t="s">
        <v>56</v>
      </c>
      <c r="E242" t="s">
        <v>51</v>
      </c>
      <c r="F242">
        <v>3</v>
      </c>
      <c r="G242" t="s">
        <v>174</v>
      </c>
      <c r="H242" s="2">
        <v>28</v>
      </c>
      <c r="I242" t="s">
        <v>27</v>
      </c>
      <c r="J242">
        <v>100</v>
      </c>
      <c r="K242" t="s">
        <v>174</v>
      </c>
      <c r="L242">
        <v>28</v>
      </c>
      <c r="M242" t="s">
        <v>28</v>
      </c>
      <c r="N242" t="s">
        <v>29</v>
      </c>
      <c r="O242" t="s">
        <v>195</v>
      </c>
      <c r="P242" t="s">
        <v>43</v>
      </c>
      <c r="Q242">
        <v>577.03</v>
      </c>
      <c r="R242">
        <v>32.65</v>
      </c>
      <c r="S242">
        <v>401.18</v>
      </c>
      <c r="T242">
        <v>12.47</v>
      </c>
      <c r="U242">
        <v>40118</v>
      </c>
    </row>
    <row r="243" spans="1:21" x14ac:dyDescent="0.25">
      <c r="A243" t="s">
        <v>196</v>
      </c>
      <c r="B243" t="s">
        <v>191</v>
      </c>
      <c r="C243" t="s">
        <v>55</v>
      </c>
      <c r="D243" t="s">
        <v>56</v>
      </c>
      <c r="E243" t="s">
        <v>51</v>
      </c>
      <c r="F243">
        <v>4</v>
      </c>
      <c r="G243" t="s">
        <v>174</v>
      </c>
      <c r="H243" s="2">
        <v>28</v>
      </c>
      <c r="I243" t="s">
        <v>27</v>
      </c>
      <c r="J243">
        <v>100</v>
      </c>
      <c r="K243" t="s">
        <v>174</v>
      </c>
      <c r="L243">
        <v>28</v>
      </c>
      <c r="M243" t="s">
        <v>28</v>
      </c>
      <c r="N243" t="s">
        <v>29</v>
      </c>
      <c r="O243" t="s">
        <v>195</v>
      </c>
      <c r="P243" t="s">
        <v>43</v>
      </c>
      <c r="Q243">
        <v>569.82000000000005</v>
      </c>
      <c r="R243">
        <v>32.25</v>
      </c>
      <c r="S243">
        <v>396.16</v>
      </c>
      <c r="T243">
        <v>12.36</v>
      </c>
      <c r="U243">
        <v>39616</v>
      </c>
    </row>
    <row r="244" spans="1:21" x14ac:dyDescent="0.25">
      <c r="A244" t="s">
        <v>197</v>
      </c>
      <c r="B244" t="s">
        <v>191</v>
      </c>
      <c r="C244" t="s">
        <v>55</v>
      </c>
      <c r="D244" t="s">
        <v>56</v>
      </c>
      <c r="E244" t="s">
        <v>51</v>
      </c>
      <c r="F244">
        <v>3</v>
      </c>
      <c r="G244" t="s">
        <v>174</v>
      </c>
      <c r="H244" s="2">
        <v>28</v>
      </c>
      <c r="I244" t="s">
        <v>27</v>
      </c>
      <c r="J244">
        <v>100</v>
      </c>
      <c r="K244" t="s">
        <v>174</v>
      </c>
      <c r="L244">
        <v>28</v>
      </c>
      <c r="M244" t="s">
        <v>28</v>
      </c>
      <c r="N244" t="s">
        <v>29</v>
      </c>
      <c r="O244" t="s">
        <v>198</v>
      </c>
      <c r="P244" t="s">
        <v>31</v>
      </c>
      <c r="Q244">
        <v>596.45000000000005</v>
      </c>
      <c r="R244">
        <v>33.76</v>
      </c>
      <c r="S244">
        <v>414.68</v>
      </c>
      <c r="T244">
        <v>12.5</v>
      </c>
      <c r="U244">
        <v>41468</v>
      </c>
    </row>
    <row r="245" spans="1:21" x14ac:dyDescent="0.25">
      <c r="A245" t="s">
        <v>197</v>
      </c>
      <c r="B245" t="s">
        <v>191</v>
      </c>
      <c r="C245" t="s">
        <v>55</v>
      </c>
      <c r="D245" t="s">
        <v>56</v>
      </c>
      <c r="E245" t="s">
        <v>51</v>
      </c>
      <c r="F245">
        <v>4</v>
      </c>
      <c r="G245" t="s">
        <v>174</v>
      </c>
      <c r="H245" s="2">
        <v>28</v>
      </c>
      <c r="I245" t="s">
        <v>27</v>
      </c>
      <c r="J245">
        <v>100</v>
      </c>
      <c r="K245" t="s">
        <v>174</v>
      </c>
      <c r="L245">
        <v>28</v>
      </c>
      <c r="M245" t="s">
        <v>28</v>
      </c>
      <c r="N245" t="s">
        <v>29</v>
      </c>
      <c r="O245" t="s">
        <v>198</v>
      </c>
      <c r="P245" t="s">
        <v>31</v>
      </c>
      <c r="Q245">
        <v>606.74</v>
      </c>
      <c r="R245">
        <v>34.340000000000003</v>
      </c>
      <c r="S245">
        <v>421.83</v>
      </c>
      <c r="T245">
        <v>12.12</v>
      </c>
      <c r="U245">
        <v>42183</v>
      </c>
    </row>
    <row r="246" spans="1:21" x14ac:dyDescent="0.25">
      <c r="A246" t="s">
        <v>207</v>
      </c>
      <c r="B246" t="s">
        <v>191</v>
      </c>
      <c r="C246" t="s">
        <v>55</v>
      </c>
      <c r="D246" t="s">
        <v>56</v>
      </c>
      <c r="E246" t="s">
        <v>51</v>
      </c>
      <c r="F246">
        <v>3</v>
      </c>
      <c r="G246" t="s">
        <v>200</v>
      </c>
      <c r="H246" s="2">
        <v>28</v>
      </c>
      <c r="I246" t="s">
        <v>27</v>
      </c>
      <c r="J246">
        <v>100</v>
      </c>
      <c r="K246" t="s">
        <v>200</v>
      </c>
      <c r="L246">
        <v>28</v>
      </c>
      <c r="M246" t="s">
        <v>28</v>
      </c>
      <c r="N246" t="s">
        <v>29</v>
      </c>
      <c r="O246" t="s">
        <v>208</v>
      </c>
      <c r="P246" t="s">
        <v>41</v>
      </c>
      <c r="Q246">
        <v>587.73</v>
      </c>
      <c r="R246">
        <v>33.270000000000003</v>
      </c>
      <c r="S246">
        <v>408.62</v>
      </c>
      <c r="T246">
        <v>12.34</v>
      </c>
      <c r="U246">
        <v>40862</v>
      </c>
    </row>
    <row r="247" spans="1:21" x14ac:dyDescent="0.25">
      <c r="A247" t="s">
        <v>207</v>
      </c>
      <c r="B247" t="s">
        <v>191</v>
      </c>
      <c r="C247" t="s">
        <v>55</v>
      </c>
      <c r="D247" t="s">
        <v>56</v>
      </c>
      <c r="E247" t="s">
        <v>51</v>
      </c>
      <c r="F247">
        <v>4</v>
      </c>
      <c r="G247" t="s">
        <v>200</v>
      </c>
      <c r="H247" s="2">
        <v>28</v>
      </c>
      <c r="I247" t="s">
        <v>27</v>
      </c>
      <c r="J247">
        <v>100</v>
      </c>
      <c r="K247" t="s">
        <v>200</v>
      </c>
      <c r="L247">
        <v>28</v>
      </c>
      <c r="M247" t="s">
        <v>28</v>
      </c>
      <c r="N247" t="s">
        <v>29</v>
      </c>
      <c r="O247" t="s">
        <v>208</v>
      </c>
      <c r="P247" t="s">
        <v>33</v>
      </c>
      <c r="Q247">
        <v>599.59</v>
      </c>
      <c r="R247">
        <v>33.94</v>
      </c>
      <c r="S247">
        <v>416.86</v>
      </c>
      <c r="T247">
        <v>12.43</v>
      </c>
      <c r="U247">
        <v>41686</v>
      </c>
    </row>
    <row r="248" spans="1:21" x14ac:dyDescent="0.25">
      <c r="A248" t="s">
        <v>209</v>
      </c>
      <c r="B248" t="s">
        <v>191</v>
      </c>
      <c r="C248" t="s">
        <v>55</v>
      </c>
      <c r="D248" t="s">
        <v>56</v>
      </c>
      <c r="E248" t="s">
        <v>51</v>
      </c>
      <c r="F248">
        <v>3</v>
      </c>
      <c r="G248" t="s">
        <v>200</v>
      </c>
      <c r="H248" s="2">
        <v>28</v>
      </c>
      <c r="I248" t="s">
        <v>27</v>
      </c>
      <c r="J248">
        <v>100</v>
      </c>
      <c r="K248" t="s">
        <v>200</v>
      </c>
      <c r="L248">
        <v>28</v>
      </c>
      <c r="M248" t="s">
        <v>28</v>
      </c>
      <c r="N248" t="s">
        <v>29</v>
      </c>
      <c r="O248" t="s">
        <v>208</v>
      </c>
      <c r="P248" t="s">
        <v>34</v>
      </c>
      <c r="Q248">
        <v>559.20000000000005</v>
      </c>
      <c r="R248">
        <v>31.65</v>
      </c>
      <c r="S248">
        <v>388.78</v>
      </c>
      <c r="T248">
        <v>12.24</v>
      </c>
      <c r="U248">
        <v>38878</v>
      </c>
    </row>
    <row r="249" spans="1:21" x14ac:dyDescent="0.25">
      <c r="A249" t="s">
        <v>209</v>
      </c>
      <c r="B249" t="s">
        <v>191</v>
      </c>
      <c r="C249" t="s">
        <v>55</v>
      </c>
      <c r="D249" t="s">
        <v>56</v>
      </c>
      <c r="E249" t="s">
        <v>51</v>
      </c>
      <c r="F249">
        <v>4</v>
      </c>
      <c r="G249" t="s">
        <v>200</v>
      </c>
      <c r="H249" s="2">
        <v>28</v>
      </c>
      <c r="I249" t="s">
        <v>27</v>
      </c>
      <c r="J249">
        <v>100</v>
      </c>
      <c r="K249" t="s">
        <v>200</v>
      </c>
      <c r="L249">
        <v>28</v>
      </c>
      <c r="M249" t="s">
        <v>28</v>
      </c>
      <c r="N249" t="s">
        <v>29</v>
      </c>
      <c r="O249" t="s">
        <v>208</v>
      </c>
      <c r="P249" t="s">
        <v>33</v>
      </c>
      <c r="Q249">
        <v>644.46</v>
      </c>
      <c r="R249">
        <v>36.479999999999997</v>
      </c>
      <c r="S249">
        <v>448.06</v>
      </c>
      <c r="T249">
        <v>12.43</v>
      </c>
      <c r="U249">
        <v>44806</v>
      </c>
    </row>
    <row r="250" spans="1:21" x14ac:dyDescent="0.25">
      <c r="A250" t="s">
        <v>210</v>
      </c>
      <c r="B250" t="s">
        <v>191</v>
      </c>
      <c r="C250" t="s">
        <v>55</v>
      </c>
      <c r="D250" t="s">
        <v>56</v>
      </c>
      <c r="E250" t="s">
        <v>51</v>
      </c>
      <c r="F250">
        <v>3</v>
      </c>
      <c r="G250" t="s">
        <v>200</v>
      </c>
      <c r="H250" s="2">
        <v>28</v>
      </c>
      <c r="I250" t="s">
        <v>27</v>
      </c>
      <c r="J250">
        <v>100</v>
      </c>
      <c r="K250" t="s">
        <v>200</v>
      </c>
      <c r="L250">
        <v>28</v>
      </c>
      <c r="M250" t="s">
        <v>28</v>
      </c>
      <c r="N250" t="s">
        <v>29</v>
      </c>
      <c r="O250" t="s">
        <v>211</v>
      </c>
      <c r="P250" t="s">
        <v>33</v>
      </c>
      <c r="Q250">
        <v>565.14</v>
      </c>
      <c r="R250">
        <v>31.99</v>
      </c>
      <c r="S250">
        <v>392.91</v>
      </c>
      <c r="T250">
        <v>12.42</v>
      </c>
      <c r="U250">
        <v>39291</v>
      </c>
    </row>
    <row r="251" spans="1:21" x14ac:dyDescent="0.25">
      <c r="A251" t="s">
        <v>210</v>
      </c>
      <c r="B251" t="s">
        <v>191</v>
      </c>
      <c r="C251" t="s">
        <v>55</v>
      </c>
      <c r="D251" t="s">
        <v>56</v>
      </c>
      <c r="E251" t="s">
        <v>51</v>
      </c>
      <c r="F251">
        <v>4</v>
      </c>
      <c r="G251" t="s">
        <v>200</v>
      </c>
      <c r="H251" s="2">
        <v>28</v>
      </c>
      <c r="I251" t="s">
        <v>27</v>
      </c>
      <c r="J251">
        <v>100</v>
      </c>
      <c r="K251" t="s">
        <v>200</v>
      </c>
      <c r="L251">
        <v>28</v>
      </c>
      <c r="M251" t="s">
        <v>28</v>
      </c>
      <c r="N251" t="s">
        <v>29</v>
      </c>
      <c r="O251" t="s">
        <v>211</v>
      </c>
      <c r="P251" t="s">
        <v>43</v>
      </c>
      <c r="Q251">
        <v>578.16999999999996</v>
      </c>
      <c r="R251">
        <v>32.729999999999997</v>
      </c>
      <c r="S251">
        <v>401.97</v>
      </c>
      <c r="T251">
        <v>12.35</v>
      </c>
      <c r="U251">
        <v>40197</v>
      </c>
    </row>
    <row r="252" spans="1:21" x14ac:dyDescent="0.25">
      <c r="A252" t="s">
        <v>212</v>
      </c>
      <c r="B252" t="s">
        <v>191</v>
      </c>
      <c r="C252" t="s">
        <v>55</v>
      </c>
      <c r="D252" t="s">
        <v>56</v>
      </c>
      <c r="E252" t="s">
        <v>51</v>
      </c>
      <c r="F252">
        <v>3</v>
      </c>
      <c r="G252" t="s">
        <v>200</v>
      </c>
      <c r="H252" s="2">
        <v>28</v>
      </c>
      <c r="I252" t="s">
        <v>27</v>
      </c>
      <c r="J252">
        <v>100</v>
      </c>
      <c r="K252" t="s">
        <v>200</v>
      </c>
      <c r="L252">
        <v>28</v>
      </c>
      <c r="M252" t="s">
        <v>28</v>
      </c>
      <c r="N252" t="s">
        <v>29</v>
      </c>
      <c r="O252" t="s">
        <v>211</v>
      </c>
      <c r="P252" t="s">
        <v>33</v>
      </c>
      <c r="Q252">
        <v>641.02</v>
      </c>
      <c r="R252">
        <v>36.28</v>
      </c>
      <c r="S252">
        <v>445.67</v>
      </c>
      <c r="T252">
        <v>12.2</v>
      </c>
      <c r="U252">
        <v>44567</v>
      </c>
    </row>
    <row r="253" spans="1:21" x14ac:dyDescent="0.25">
      <c r="A253" t="s">
        <v>212</v>
      </c>
      <c r="B253" t="s">
        <v>191</v>
      </c>
      <c r="C253" t="s">
        <v>55</v>
      </c>
      <c r="D253" t="s">
        <v>56</v>
      </c>
      <c r="E253" t="s">
        <v>51</v>
      </c>
      <c r="F253">
        <v>4</v>
      </c>
      <c r="G253" t="s">
        <v>200</v>
      </c>
      <c r="H253" s="2">
        <v>28</v>
      </c>
      <c r="I253" t="s">
        <v>27</v>
      </c>
      <c r="J253">
        <v>100</v>
      </c>
      <c r="K253" t="s">
        <v>200</v>
      </c>
      <c r="L253">
        <v>28</v>
      </c>
      <c r="M253" t="s">
        <v>28</v>
      </c>
      <c r="N253" t="s">
        <v>29</v>
      </c>
      <c r="O253" t="s">
        <v>211</v>
      </c>
      <c r="P253" t="s">
        <v>34</v>
      </c>
      <c r="Q253">
        <v>625.67999999999995</v>
      </c>
      <c r="R253">
        <v>35.409999999999997</v>
      </c>
      <c r="S253">
        <v>435</v>
      </c>
      <c r="T253">
        <v>12.14</v>
      </c>
      <c r="U253">
        <v>43500</v>
      </c>
    </row>
    <row r="254" spans="1:21" x14ac:dyDescent="0.25">
      <c r="A254" t="s">
        <v>222</v>
      </c>
      <c r="B254" t="s">
        <v>191</v>
      </c>
      <c r="C254" t="s">
        <v>55</v>
      </c>
      <c r="D254" t="s">
        <v>56</v>
      </c>
      <c r="E254" t="s">
        <v>51</v>
      </c>
      <c r="F254">
        <v>3</v>
      </c>
      <c r="G254" t="s">
        <v>223</v>
      </c>
      <c r="H254" s="2">
        <v>28</v>
      </c>
      <c r="I254" t="s">
        <v>27</v>
      </c>
      <c r="J254">
        <v>100</v>
      </c>
      <c r="K254" t="s">
        <v>223</v>
      </c>
      <c r="L254">
        <v>28</v>
      </c>
      <c r="M254" t="s">
        <v>28</v>
      </c>
      <c r="N254" t="s">
        <v>29</v>
      </c>
      <c r="O254" t="s">
        <v>224</v>
      </c>
      <c r="P254" t="s">
        <v>33</v>
      </c>
      <c r="Q254">
        <v>587.37</v>
      </c>
      <c r="R254">
        <v>33.25</v>
      </c>
      <c r="S254">
        <v>408.37</v>
      </c>
      <c r="T254">
        <v>12.36</v>
      </c>
      <c r="U254">
        <v>40837</v>
      </c>
    </row>
    <row r="255" spans="1:21" x14ac:dyDescent="0.25">
      <c r="A255" t="s">
        <v>222</v>
      </c>
      <c r="B255" t="s">
        <v>191</v>
      </c>
      <c r="C255" t="s">
        <v>55</v>
      </c>
      <c r="D255" t="s">
        <v>56</v>
      </c>
      <c r="E255" t="s">
        <v>51</v>
      </c>
      <c r="F255">
        <v>4</v>
      </c>
      <c r="G255" t="s">
        <v>223</v>
      </c>
      <c r="H255" s="2">
        <v>28</v>
      </c>
      <c r="I255" t="s">
        <v>27</v>
      </c>
      <c r="J255">
        <v>100</v>
      </c>
      <c r="K255" t="s">
        <v>223</v>
      </c>
      <c r="L255">
        <v>28</v>
      </c>
      <c r="M255" t="s">
        <v>28</v>
      </c>
      <c r="N255" t="s">
        <v>29</v>
      </c>
      <c r="O255" t="s">
        <v>224</v>
      </c>
      <c r="P255" t="s">
        <v>31</v>
      </c>
      <c r="Q255">
        <v>601.12</v>
      </c>
      <c r="R255">
        <v>34.020000000000003</v>
      </c>
      <c r="S255">
        <v>417.93</v>
      </c>
      <c r="T255">
        <v>12.49</v>
      </c>
      <c r="U255">
        <v>41793</v>
      </c>
    </row>
    <row r="256" spans="1:21" x14ac:dyDescent="0.25">
      <c r="A256" t="s">
        <v>225</v>
      </c>
      <c r="B256" t="s">
        <v>191</v>
      </c>
      <c r="C256" t="s">
        <v>55</v>
      </c>
      <c r="D256" t="s">
        <v>56</v>
      </c>
      <c r="E256" t="s">
        <v>51</v>
      </c>
      <c r="F256">
        <v>3</v>
      </c>
      <c r="G256" t="s">
        <v>223</v>
      </c>
      <c r="H256" s="2">
        <v>28</v>
      </c>
      <c r="I256" t="s">
        <v>27</v>
      </c>
      <c r="J256">
        <v>100</v>
      </c>
      <c r="K256" t="s">
        <v>223</v>
      </c>
      <c r="L256">
        <v>28</v>
      </c>
      <c r="M256" t="s">
        <v>28</v>
      </c>
      <c r="N256" t="s">
        <v>29</v>
      </c>
      <c r="O256" t="s">
        <v>224</v>
      </c>
      <c r="P256" t="s">
        <v>43</v>
      </c>
      <c r="Q256">
        <v>565.82000000000005</v>
      </c>
      <c r="R256">
        <v>32.020000000000003</v>
      </c>
      <c r="S256">
        <v>393.38</v>
      </c>
      <c r="T256">
        <v>12.42</v>
      </c>
      <c r="U256">
        <v>39338</v>
      </c>
    </row>
    <row r="257" spans="1:21" x14ac:dyDescent="0.25">
      <c r="A257" t="s">
        <v>225</v>
      </c>
      <c r="B257" t="s">
        <v>191</v>
      </c>
      <c r="C257" t="s">
        <v>55</v>
      </c>
      <c r="D257" t="s">
        <v>56</v>
      </c>
      <c r="E257" t="s">
        <v>51</v>
      </c>
      <c r="F257">
        <v>4</v>
      </c>
      <c r="G257" t="s">
        <v>223</v>
      </c>
      <c r="H257" s="2">
        <v>28</v>
      </c>
      <c r="I257" t="s">
        <v>27</v>
      </c>
      <c r="J257">
        <v>100</v>
      </c>
      <c r="K257" t="s">
        <v>223</v>
      </c>
      <c r="L257">
        <v>28</v>
      </c>
      <c r="M257" t="s">
        <v>28</v>
      </c>
      <c r="N257" t="s">
        <v>29</v>
      </c>
      <c r="O257" t="s">
        <v>224</v>
      </c>
      <c r="P257" t="s">
        <v>43</v>
      </c>
      <c r="Q257">
        <v>648.24</v>
      </c>
      <c r="R257">
        <v>36.69</v>
      </c>
      <c r="S257">
        <v>450.69</v>
      </c>
      <c r="T257">
        <v>12.18</v>
      </c>
      <c r="U257">
        <v>45069</v>
      </c>
    </row>
    <row r="258" spans="1:21" x14ac:dyDescent="0.25">
      <c r="A258" t="s">
        <v>244</v>
      </c>
      <c r="B258" t="s">
        <v>191</v>
      </c>
      <c r="C258" t="s">
        <v>55</v>
      </c>
      <c r="D258" t="s">
        <v>56</v>
      </c>
      <c r="E258" t="s">
        <v>51</v>
      </c>
      <c r="F258">
        <v>3</v>
      </c>
      <c r="G258" t="s">
        <v>230</v>
      </c>
      <c r="H258" s="2">
        <v>28</v>
      </c>
      <c r="I258" t="s">
        <v>27</v>
      </c>
      <c r="J258">
        <v>100</v>
      </c>
      <c r="K258" t="s">
        <v>230</v>
      </c>
      <c r="L258">
        <v>28</v>
      </c>
      <c r="M258" t="s">
        <v>28</v>
      </c>
      <c r="N258" t="s">
        <v>29</v>
      </c>
      <c r="O258" t="s">
        <v>245</v>
      </c>
      <c r="P258" t="s">
        <v>34</v>
      </c>
      <c r="Q258">
        <v>500</v>
      </c>
      <c r="R258">
        <v>28.29</v>
      </c>
      <c r="S258">
        <v>347.62</v>
      </c>
      <c r="T258">
        <v>12.13</v>
      </c>
      <c r="U258">
        <v>34762</v>
      </c>
    </row>
    <row r="259" spans="1:21" x14ac:dyDescent="0.25">
      <c r="A259" t="s">
        <v>244</v>
      </c>
      <c r="B259" t="s">
        <v>191</v>
      </c>
      <c r="C259" t="s">
        <v>55</v>
      </c>
      <c r="D259" t="s">
        <v>56</v>
      </c>
      <c r="E259" t="s">
        <v>51</v>
      </c>
      <c r="F259">
        <v>4</v>
      </c>
      <c r="G259" t="s">
        <v>230</v>
      </c>
      <c r="H259" s="2">
        <v>28</v>
      </c>
      <c r="I259" t="s">
        <v>27</v>
      </c>
      <c r="J259">
        <v>100</v>
      </c>
      <c r="K259" t="s">
        <v>230</v>
      </c>
      <c r="L259">
        <v>28</v>
      </c>
      <c r="M259" t="s">
        <v>28</v>
      </c>
      <c r="N259" t="s">
        <v>29</v>
      </c>
      <c r="O259" t="s">
        <v>245</v>
      </c>
      <c r="P259" t="s">
        <v>34</v>
      </c>
      <c r="Q259">
        <v>508.27</v>
      </c>
      <c r="R259">
        <v>28.76</v>
      </c>
      <c r="S259">
        <v>353.37</v>
      </c>
      <c r="T259">
        <v>12.41</v>
      </c>
      <c r="U259">
        <v>35337</v>
      </c>
    </row>
    <row r="260" spans="1:21" x14ac:dyDescent="0.25">
      <c r="A260" t="s">
        <v>246</v>
      </c>
      <c r="B260" t="s">
        <v>191</v>
      </c>
      <c r="C260" t="s">
        <v>55</v>
      </c>
      <c r="D260" t="s">
        <v>56</v>
      </c>
      <c r="E260" t="s">
        <v>51</v>
      </c>
      <c r="F260">
        <v>3</v>
      </c>
      <c r="G260" t="s">
        <v>230</v>
      </c>
      <c r="H260" s="2">
        <v>28</v>
      </c>
      <c r="I260" t="s">
        <v>27</v>
      </c>
      <c r="J260">
        <v>100</v>
      </c>
      <c r="K260" t="s">
        <v>230</v>
      </c>
      <c r="L260">
        <v>28</v>
      </c>
      <c r="M260" t="s">
        <v>28</v>
      </c>
      <c r="N260" t="s">
        <v>29</v>
      </c>
      <c r="O260" t="s">
        <v>245</v>
      </c>
      <c r="P260" t="s">
        <v>34</v>
      </c>
      <c r="Q260">
        <v>613.95000000000005</v>
      </c>
      <c r="R260">
        <v>34.75</v>
      </c>
      <c r="S260">
        <v>426.85</v>
      </c>
      <c r="T260">
        <v>12.4</v>
      </c>
      <c r="U260">
        <v>42685</v>
      </c>
    </row>
    <row r="261" spans="1:21" x14ac:dyDescent="0.25">
      <c r="A261" t="s">
        <v>246</v>
      </c>
      <c r="B261" t="s">
        <v>191</v>
      </c>
      <c r="C261" t="s">
        <v>55</v>
      </c>
      <c r="D261" t="s">
        <v>56</v>
      </c>
      <c r="E261" t="s">
        <v>51</v>
      </c>
      <c r="F261">
        <v>4</v>
      </c>
      <c r="G261" t="s">
        <v>230</v>
      </c>
      <c r="H261" s="2">
        <v>28</v>
      </c>
      <c r="I261" t="s">
        <v>27</v>
      </c>
      <c r="J261">
        <v>100</v>
      </c>
      <c r="K261" t="s">
        <v>230</v>
      </c>
      <c r="L261">
        <v>28</v>
      </c>
      <c r="M261" t="s">
        <v>28</v>
      </c>
      <c r="N261" t="s">
        <v>29</v>
      </c>
      <c r="O261" t="s">
        <v>245</v>
      </c>
      <c r="P261" t="s">
        <v>43</v>
      </c>
      <c r="Q261">
        <v>597.02</v>
      </c>
      <c r="R261">
        <v>33.79</v>
      </c>
      <c r="S261">
        <v>415.07</v>
      </c>
      <c r="T261">
        <v>12.35</v>
      </c>
      <c r="U261">
        <v>41507</v>
      </c>
    </row>
    <row r="262" spans="1:21" x14ac:dyDescent="0.25">
      <c r="A262" t="s">
        <v>247</v>
      </c>
      <c r="B262" t="s">
        <v>191</v>
      </c>
      <c r="C262" t="s">
        <v>55</v>
      </c>
      <c r="D262" t="s">
        <v>56</v>
      </c>
      <c r="E262" t="s">
        <v>51</v>
      </c>
      <c r="F262">
        <v>3</v>
      </c>
      <c r="G262" t="s">
        <v>230</v>
      </c>
      <c r="H262" s="2">
        <v>28</v>
      </c>
      <c r="I262" t="s">
        <v>27</v>
      </c>
      <c r="J262">
        <v>100</v>
      </c>
      <c r="K262" t="s">
        <v>230</v>
      </c>
      <c r="L262">
        <v>28</v>
      </c>
      <c r="M262" t="s">
        <v>28</v>
      </c>
      <c r="N262" t="s">
        <v>29</v>
      </c>
      <c r="O262" t="s">
        <v>248</v>
      </c>
      <c r="P262" t="s">
        <v>41</v>
      </c>
      <c r="Q262">
        <v>567.71</v>
      </c>
      <c r="R262">
        <v>32.130000000000003</v>
      </c>
      <c r="S262">
        <v>394.7</v>
      </c>
      <c r="T262">
        <v>12.45</v>
      </c>
      <c r="U262">
        <v>39470</v>
      </c>
    </row>
    <row r="263" spans="1:21" x14ac:dyDescent="0.25">
      <c r="A263" t="s">
        <v>247</v>
      </c>
      <c r="B263" t="s">
        <v>191</v>
      </c>
      <c r="C263" t="s">
        <v>55</v>
      </c>
      <c r="D263" t="s">
        <v>56</v>
      </c>
      <c r="E263" t="s">
        <v>51</v>
      </c>
      <c r="F263">
        <v>4</v>
      </c>
      <c r="G263" t="s">
        <v>230</v>
      </c>
      <c r="H263" s="2">
        <v>28</v>
      </c>
      <c r="I263" t="s">
        <v>27</v>
      </c>
      <c r="J263">
        <v>100</v>
      </c>
      <c r="K263" t="s">
        <v>230</v>
      </c>
      <c r="L263">
        <v>28</v>
      </c>
      <c r="M263" t="s">
        <v>28</v>
      </c>
      <c r="N263" t="s">
        <v>29</v>
      </c>
      <c r="O263" t="s">
        <v>248</v>
      </c>
      <c r="P263" t="s">
        <v>41</v>
      </c>
      <c r="Q263">
        <v>557.14</v>
      </c>
      <c r="R263">
        <v>31.53</v>
      </c>
      <c r="S263">
        <v>387.35</v>
      </c>
      <c r="T263">
        <v>12.49</v>
      </c>
      <c r="U263">
        <v>38735</v>
      </c>
    </row>
    <row r="264" spans="1:21" x14ac:dyDescent="0.25">
      <c r="A264" t="s">
        <v>249</v>
      </c>
      <c r="B264" t="s">
        <v>191</v>
      </c>
      <c r="C264" t="s">
        <v>55</v>
      </c>
      <c r="D264" t="s">
        <v>56</v>
      </c>
      <c r="E264" t="s">
        <v>51</v>
      </c>
      <c r="F264">
        <v>3</v>
      </c>
      <c r="G264" t="s">
        <v>230</v>
      </c>
      <c r="H264" s="2">
        <v>28</v>
      </c>
      <c r="I264" t="s">
        <v>27</v>
      </c>
      <c r="J264">
        <v>100</v>
      </c>
      <c r="K264" t="s">
        <v>230</v>
      </c>
      <c r="L264">
        <v>28</v>
      </c>
      <c r="M264" t="s">
        <v>28</v>
      </c>
      <c r="N264" t="s">
        <v>29</v>
      </c>
      <c r="O264" t="s">
        <v>248</v>
      </c>
      <c r="P264" t="s">
        <v>43</v>
      </c>
      <c r="Q264">
        <v>583.1</v>
      </c>
      <c r="R264">
        <v>33</v>
      </c>
      <c r="S264">
        <v>405.4</v>
      </c>
      <c r="T264">
        <v>12.28</v>
      </c>
      <c r="U264">
        <v>40540</v>
      </c>
    </row>
    <row r="265" spans="1:21" x14ac:dyDescent="0.25">
      <c r="A265" t="s">
        <v>249</v>
      </c>
      <c r="B265" t="s">
        <v>191</v>
      </c>
      <c r="C265" t="s">
        <v>55</v>
      </c>
      <c r="D265" t="s">
        <v>56</v>
      </c>
      <c r="E265" t="s">
        <v>51</v>
      </c>
      <c r="F265">
        <v>4</v>
      </c>
      <c r="G265" t="s">
        <v>230</v>
      </c>
      <c r="H265" s="2">
        <v>28</v>
      </c>
      <c r="I265" t="s">
        <v>27</v>
      </c>
      <c r="J265">
        <v>100</v>
      </c>
      <c r="K265" t="s">
        <v>230</v>
      </c>
      <c r="L265">
        <v>28</v>
      </c>
      <c r="M265" t="s">
        <v>28</v>
      </c>
      <c r="N265" t="s">
        <v>29</v>
      </c>
      <c r="O265" t="s">
        <v>248</v>
      </c>
      <c r="P265" t="s">
        <v>41</v>
      </c>
      <c r="Q265">
        <v>596.22</v>
      </c>
      <c r="R265">
        <v>33.75</v>
      </c>
      <c r="S265">
        <v>414.52</v>
      </c>
      <c r="T265">
        <v>12.39</v>
      </c>
      <c r="U265">
        <v>41452</v>
      </c>
    </row>
    <row r="266" spans="1:21" x14ac:dyDescent="0.25">
      <c r="A266" t="s">
        <v>250</v>
      </c>
      <c r="B266" t="s">
        <v>191</v>
      </c>
      <c r="C266" t="s">
        <v>55</v>
      </c>
      <c r="D266" t="s">
        <v>56</v>
      </c>
      <c r="E266" t="s">
        <v>51</v>
      </c>
      <c r="F266">
        <v>3</v>
      </c>
      <c r="G266" t="s">
        <v>230</v>
      </c>
      <c r="H266" s="2">
        <v>28</v>
      </c>
      <c r="I266" t="s">
        <v>27</v>
      </c>
      <c r="J266">
        <v>100</v>
      </c>
      <c r="K266" t="s">
        <v>230</v>
      </c>
      <c r="L266">
        <v>28</v>
      </c>
      <c r="M266" t="s">
        <v>28</v>
      </c>
      <c r="N266" t="s">
        <v>29</v>
      </c>
      <c r="O266" t="s">
        <v>251</v>
      </c>
      <c r="P266" t="s">
        <v>43</v>
      </c>
      <c r="Q266">
        <v>565.66</v>
      </c>
      <c r="R266">
        <v>32.01</v>
      </c>
      <c r="S266">
        <v>393.27</v>
      </c>
      <c r="T266">
        <v>12.44</v>
      </c>
      <c r="U266">
        <v>39327</v>
      </c>
    </row>
    <row r="267" spans="1:21" x14ac:dyDescent="0.25">
      <c r="A267" t="s">
        <v>250</v>
      </c>
      <c r="B267" t="s">
        <v>191</v>
      </c>
      <c r="C267" t="s">
        <v>55</v>
      </c>
      <c r="D267" t="s">
        <v>56</v>
      </c>
      <c r="E267" t="s">
        <v>51</v>
      </c>
      <c r="F267">
        <v>4</v>
      </c>
      <c r="G267" t="s">
        <v>230</v>
      </c>
      <c r="H267" s="2">
        <v>28</v>
      </c>
      <c r="I267" t="s">
        <v>27</v>
      </c>
      <c r="J267">
        <v>100</v>
      </c>
      <c r="K267" t="s">
        <v>230</v>
      </c>
      <c r="L267">
        <v>28</v>
      </c>
      <c r="M267" t="s">
        <v>28</v>
      </c>
      <c r="N267" t="s">
        <v>29</v>
      </c>
      <c r="O267" t="s">
        <v>251</v>
      </c>
      <c r="P267" t="s">
        <v>43</v>
      </c>
      <c r="Q267">
        <v>651.66</v>
      </c>
      <c r="R267">
        <v>36.880000000000003</v>
      </c>
      <c r="S267">
        <v>453.06</v>
      </c>
      <c r="T267">
        <v>12.42</v>
      </c>
      <c r="U267">
        <v>45306</v>
      </c>
    </row>
    <row r="268" spans="1:21" x14ac:dyDescent="0.25">
      <c r="A268" t="s">
        <v>252</v>
      </c>
      <c r="B268" t="s">
        <v>191</v>
      </c>
      <c r="C268" t="s">
        <v>55</v>
      </c>
      <c r="D268" t="s">
        <v>56</v>
      </c>
      <c r="E268" t="s">
        <v>51</v>
      </c>
      <c r="F268">
        <v>3</v>
      </c>
      <c r="G268" t="s">
        <v>230</v>
      </c>
      <c r="H268" s="2">
        <v>28</v>
      </c>
      <c r="I268" t="s">
        <v>27</v>
      </c>
      <c r="J268">
        <v>100</v>
      </c>
      <c r="K268" t="s">
        <v>230</v>
      </c>
      <c r="L268">
        <v>28</v>
      </c>
      <c r="M268" t="s">
        <v>28</v>
      </c>
      <c r="N268" t="s">
        <v>29</v>
      </c>
      <c r="O268" t="s">
        <v>251</v>
      </c>
      <c r="P268" t="s">
        <v>43</v>
      </c>
      <c r="Q268">
        <v>576.20000000000005</v>
      </c>
      <c r="R268">
        <v>32.61</v>
      </c>
      <c r="S268">
        <v>400.6</v>
      </c>
      <c r="T268">
        <v>12.22</v>
      </c>
      <c r="U268">
        <v>40060</v>
      </c>
    </row>
    <row r="269" spans="1:21" x14ac:dyDescent="0.25">
      <c r="A269" t="s">
        <v>252</v>
      </c>
      <c r="B269" t="s">
        <v>191</v>
      </c>
      <c r="C269" t="s">
        <v>55</v>
      </c>
      <c r="D269" t="s">
        <v>56</v>
      </c>
      <c r="E269" t="s">
        <v>51</v>
      </c>
      <c r="F269">
        <v>4</v>
      </c>
      <c r="G269" t="s">
        <v>230</v>
      </c>
      <c r="H269" s="2">
        <v>28</v>
      </c>
      <c r="I269" t="s">
        <v>27</v>
      </c>
      <c r="J269">
        <v>100</v>
      </c>
      <c r="K269" t="s">
        <v>230</v>
      </c>
      <c r="L269">
        <v>28</v>
      </c>
      <c r="M269" t="s">
        <v>28</v>
      </c>
      <c r="N269" t="s">
        <v>29</v>
      </c>
      <c r="O269" t="s">
        <v>251</v>
      </c>
      <c r="P269" t="s">
        <v>31</v>
      </c>
      <c r="Q269">
        <v>583.1</v>
      </c>
      <c r="R269">
        <v>33</v>
      </c>
      <c r="S269">
        <v>405.4</v>
      </c>
      <c r="T269">
        <v>12.46</v>
      </c>
      <c r="U269">
        <v>40540</v>
      </c>
    </row>
    <row r="270" spans="1:21" x14ac:dyDescent="0.25">
      <c r="A270" t="s">
        <v>270</v>
      </c>
      <c r="B270" t="s">
        <v>191</v>
      </c>
      <c r="C270" t="s">
        <v>55</v>
      </c>
      <c r="D270" t="s">
        <v>56</v>
      </c>
      <c r="E270" t="s">
        <v>51</v>
      </c>
      <c r="F270">
        <v>3</v>
      </c>
      <c r="G270" t="s">
        <v>257</v>
      </c>
      <c r="H270" s="2">
        <v>28</v>
      </c>
      <c r="I270" t="s">
        <v>27</v>
      </c>
      <c r="J270">
        <v>100</v>
      </c>
      <c r="K270" t="s">
        <v>257</v>
      </c>
      <c r="L270">
        <v>28</v>
      </c>
      <c r="M270" t="s">
        <v>28</v>
      </c>
      <c r="N270" t="s">
        <v>29</v>
      </c>
      <c r="O270" t="s">
        <v>271</v>
      </c>
      <c r="P270" t="s">
        <v>43</v>
      </c>
      <c r="Q270">
        <v>572.66999999999996</v>
      </c>
      <c r="R270">
        <v>32.409999999999997</v>
      </c>
      <c r="S270">
        <v>398.15</v>
      </c>
      <c r="T270">
        <v>12.36</v>
      </c>
      <c r="U270">
        <v>39815</v>
      </c>
    </row>
    <row r="271" spans="1:21" x14ac:dyDescent="0.25">
      <c r="A271" t="s">
        <v>270</v>
      </c>
      <c r="B271" t="s">
        <v>191</v>
      </c>
      <c r="C271" t="s">
        <v>55</v>
      </c>
      <c r="D271" t="s">
        <v>56</v>
      </c>
      <c r="E271" t="s">
        <v>51</v>
      </c>
      <c r="F271">
        <v>4</v>
      </c>
      <c r="G271" t="s">
        <v>257</v>
      </c>
      <c r="H271" s="2">
        <v>28</v>
      </c>
      <c r="I271" t="s">
        <v>27</v>
      </c>
      <c r="J271">
        <v>100</v>
      </c>
      <c r="K271" t="s">
        <v>257</v>
      </c>
      <c r="L271">
        <v>28</v>
      </c>
      <c r="M271" t="s">
        <v>28</v>
      </c>
      <c r="N271" t="s">
        <v>29</v>
      </c>
      <c r="O271" t="s">
        <v>271</v>
      </c>
      <c r="P271" t="s">
        <v>34</v>
      </c>
      <c r="Q271">
        <v>556.6</v>
      </c>
      <c r="R271">
        <v>31.5</v>
      </c>
      <c r="S271">
        <v>386.97</v>
      </c>
      <c r="T271">
        <v>12.36</v>
      </c>
      <c r="U271">
        <v>38697</v>
      </c>
    </row>
    <row r="272" spans="1:21" x14ac:dyDescent="0.25">
      <c r="A272" t="s">
        <v>272</v>
      </c>
      <c r="B272" t="s">
        <v>191</v>
      </c>
      <c r="C272" t="s">
        <v>55</v>
      </c>
      <c r="D272" t="s">
        <v>56</v>
      </c>
      <c r="E272" t="s">
        <v>51</v>
      </c>
      <c r="F272">
        <v>3</v>
      </c>
      <c r="G272" t="s">
        <v>257</v>
      </c>
      <c r="H272" s="2">
        <v>28</v>
      </c>
      <c r="I272" t="s">
        <v>27</v>
      </c>
      <c r="J272">
        <v>100</v>
      </c>
      <c r="K272" t="s">
        <v>257</v>
      </c>
      <c r="L272">
        <v>28</v>
      </c>
      <c r="M272" t="s">
        <v>28</v>
      </c>
      <c r="N272" t="s">
        <v>29</v>
      </c>
      <c r="O272" t="s">
        <v>271</v>
      </c>
      <c r="P272" t="s">
        <v>31</v>
      </c>
      <c r="Q272">
        <v>574.22</v>
      </c>
      <c r="R272">
        <v>32.5</v>
      </c>
      <c r="S272">
        <v>399.22</v>
      </c>
      <c r="T272">
        <v>12.37</v>
      </c>
      <c r="U272">
        <v>39922</v>
      </c>
    </row>
    <row r="273" spans="1:21" x14ac:dyDescent="0.25">
      <c r="A273" t="s">
        <v>272</v>
      </c>
      <c r="B273" t="s">
        <v>191</v>
      </c>
      <c r="C273" t="s">
        <v>55</v>
      </c>
      <c r="D273" t="s">
        <v>56</v>
      </c>
      <c r="E273" t="s">
        <v>51</v>
      </c>
      <c r="F273">
        <v>4</v>
      </c>
      <c r="G273" t="s">
        <v>257</v>
      </c>
      <c r="H273" s="2">
        <v>28</v>
      </c>
      <c r="I273" t="s">
        <v>27</v>
      </c>
      <c r="J273">
        <v>100</v>
      </c>
      <c r="K273" t="s">
        <v>257</v>
      </c>
      <c r="L273">
        <v>28</v>
      </c>
      <c r="M273" t="s">
        <v>28</v>
      </c>
      <c r="N273" t="s">
        <v>29</v>
      </c>
      <c r="O273" t="s">
        <v>271</v>
      </c>
      <c r="P273" t="s">
        <v>33</v>
      </c>
      <c r="Q273">
        <v>584.24</v>
      </c>
      <c r="R273">
        <v>33.07</v>
      </c>
      <c r="S273">
        <v>406.19</v>
      </c>
      <c r="T273">
        <v>12.29</v>
      </c>
      <c r="U273">
        <v>40619</v>
      </c>
    </row>
    <row r="274" spans="1:21" x14ac:dyDescent="0.25">
      <c r="A274" t="s">
        <v>273</v>
      </c>
      <c r="B274" t="s">
        <v>191</v>
      </c>
      <c r="C274" t="s">
        <v>55</v>
      </c>
      <c r="D274" t="s">
        <v>56</v>
      </c>
      <c r="E274" t="s">
        <v>51</v>
      </c>
      <c r="F274">
        <v>3</v>
      </c>
      <c r="G274" t="s">
        <v>257</v>
      </c>
      <c r="H274" s="2">
        <v>28</v>
      </c>
      <c r="I274" t="s">
        <v>27</v>
      </c>
      <c r="J274">
        <v>100</v>
      </c>
      <c r="K274" t="s">
        <v>257</v>
      </c>
      <c r="L274">
        <v>28</v>
      </c>
      <c r="M274" t="s">
        <v>28</v>
      </c>
      <c r="N274" t="s">
        <v>29</v>
      </c>
      <c r="O274" t="s">
        <v>271</v>
      </c>
      <c r="P274" t="s">
        <v>41</v>
      </c>
      <c r="Q274">
        <v>645.91999999999996</v>
      </c>
      <c r="R274">
        <v>36.56</v>
      </c>
      <c r="S274">
        <v>449.07</v>
      </c>
      <c r="T274">
        <v>12.26</v>
      </c>
      <c r="U274">
        <v>44907</v>
      </c>
    </row>
    <row r="275" spans="1:21" x14ac:dyDescent="0.25">
      <c r="A275" t="s">
        <v>273</v>
      </c>
      <c r="B275" t="s">
        <v>191</v>
      </c>
      <c r="C275" t="s">
        <v>55</v>
      </c>
      <c r="D275" t="s">
        <v>56</v>
      </c>
      <c r="E275" t="s">
        <v>51</v>
      </c>
      <c r="F275">
        <v>4</v>
      </c>
      <c r="G275" t="s">
        <v>257</v>
      </c>
      <c r="H275" s="2">
        <v>28</v>
      </c>
      <c r="I275" t="s">
        <v>27</v>
      </c>
      <c r="J275">
        <v>100</v>
      </c>
      <c r="K275" t="s">
        <v>257</v>
      </c>
      <c r="L275">
        <v>28</v>
      </c>
      <c r="M275" t="s">
        <v>28</v>
      </c>
      <c r="N275" t="s">
        <v>29</v>
      </c>
      <c r="O275" t="s">
        <v>271</v>
      </c>
      <c r="P275" t="s">
        <v>31</v>
      </c>
      <c r="Q275">
        <v>635.9</v>
      </c>
      <c r="R275">
        <v>35.99</v>
      </c>
      <c r="S275">
        <v>442.11</v>
      </c>
      <c r="T275">
        <v>12.35</v>
      </c>
      <c r="U275">
        <v>44211</v>
      </c>
    </row>
    <row r="276" spans="1:21" x14ac:dyDescent="0.25">
      <c r="A276" t="s">
        <v>274</v>
      </c>
      <c r="B276" t="s">
        <v>191</v>
      </c>
      <c r="C276" t="s">
        <v>55</v>
      </c>
      <c r="D276" t="s">
        <v>56</v>
      </c>
      <c r="E276" t="s">
        <v>51</v>
      </c>
      <c r="F276">
        <v>3</v>
      </c>
      <c r="G276" t="s">
        <v>257</v>
      </c>
      <c r="H276" s="2">
        <v>28</v>
      </c>
      <c r="I276" t="s">
        <v>27</v>
      </c>
      <c r="J276">
        <v>100</v>
      </c>
      <c r="K276" t="s">
        <v>257</v>
      </c>
      <c r="L276">
        <v>28</v>
      </c>
      <c r="M276" t="s">
        <v>28</v>
      </c>
      <c r="N276" t="s">
        <v>29</v>
      </c>
      <c r="O276" t="s">
        <v>271</v>
      </c>
      <c r="P276" t="s">
        <v>41</v>
      </c>
      <c r="Q276">
        <v>559.12</v>
      </c>
      <c r="R276">
        <v>31.65</v>
      </c>
      <c r="S276">
        <v>388.73</v>
      </c>
      <c r="T276">
        <v>12.27</v>
      </c>
      <c r="U276">
        <v>38873</v>
      </c>
    </row>
    <row r="277" spans="1:21" x14ac:dyDescent="0.25">
      <c r="A277" t="s">
        <v>274</v>
      </c>
      <c r="B277" t="s">
        <v>191</v>
      </c>
      <c r="C277" t="s">
        <v>55</v>
      </c>
      <c r="D277" t="s">
        <v>56</v>
      </c>
      <c r="E277" t="s">
        <v>51</v>
      </c>
      <c r="F277">
        <v>4</v>
      </c>
      <c r="G277" t="s">
        <v>257</v>
      </c>
      <c r="H277" s="2">
        <v>28</v>
      </c>
      <c r="I277" t="s">
        <v>27</v>
      </c>
      <c r="J277">
        <v>100</v>
      </c>
      <c r="K277" t="s">
        <v>257</v>
      </c>
      <c r="L277">
        <v>28</v>
      </c>
      <c r="M277" t="s">
        <v>28</v>
      </c>
      <c r="N277" t="s">
        <v>29</v>
      </c>
      <c r="O277" t="s">
        <v>271</v>
      </c>
      <c r="P277" t="s">
        <v>33</v>
      </c>
      <c r="Q277">
        <v>567.20000000000005</v>
      </c>
      <c r="R277">
        <v>32.1</v>
      </c>
      <c r="S277">
        <v>394.34</v>
      </c>
      <c r="T277">
        <v>12.2</v>
      </c>
      <c r="U277">
        <v>39434</v>
      </c>
    </row>
    <row r="278" spans="1:21" x14ac:dyDescent="0.25">
      <c r="A278" t="s">
        <v>275</v>
      </c>
      <c r="B278" t="s">
        <v>191</v>
      </c>
      <c r="C278" t="s">
        <v>55</v>
      </c>
      <c r="D278" t="s">
        <v>56</v>
      </c>
      <c r="E278" t="s">
        <v>51</v>
      </c>
      <c r="F278">
        <v>3</v>
      </c>
      <c r="G278" t="s">
        <v>257</v>
      </c>
      <c r="H278" s="2">
        <v>28</v>
      </c>
      <c r="I278" t="s">
        <v>27</v>
      </c>
      <c r="J278">
        <v>100</v>
      </c>
      <c r="K278" t="s">
        <v>257</v>
      </c>
      <c r="L278">
        <v>28</v>
      </c>
      <c r="M278" t="s">
        <v>28</v>
      </c>
      <c r="N278" t="s">
        <v>29</v>
      </c>
      <c r="O278" t="s">
        <v>276</v>
      </c>
      <c r="P278" t="s">
        <v>33</v>
      </c>
      <c r="Q278">
        <v>636.07000000000005</v>
      </c>
      <c r="R278">
        <v>36</v>
      </c>
      <c r="S278">
        <v>442.22</v>
      </c>
      <c r="T278">
        <v>12.3</v>
      </c>
      <c r="U278">
        <v>44222</v>
      </c>
    </row>
    <row r="279" spans="1:21" x14ac:dyDescent="0.25">
      <c r="A279" t="s">
        <v>275</v>
      </c>
      <c r="B279" t="s">
        <v>191</v>
      </c>
      <c r="C279" t="s">
        <v>55</v>
      </c>
      <c r="D279" t="s">
        <v>56</v>
      </c>
      <c r="E279" t="s">
        <v>51</v>
      </c>
      <c r="F279">
        <v>4</v>
      </c>
      <c r="G279" t="s">
        <v>257</v>
      </c>
      <c r="H279" s="2">
        <v>28</v>
      </c>
      <c r="I279" t="s">
        <v>27</v>
      </c>
      <c r="J279">
        <v>100</v>
      </c>
      <c r="K279" t="s">
        <v>257</v>
      </c>
      <c r="L279">
        <v>28</v>
      </c>
      <c r="M279" t="s">
        <v>28</v>
      </c>
      <c r="N279" t="s">
        <v>29</v>
      </c>
      <c r="O279" t="s">
        <v>276</v>
      </c>
      <c r="P279" t="s">
        <v>33</v>
      </c>
      <c r="Q279">
        <v>628.37</v>
      </c>
      <c r="R279">
        <v>35.57</v>
      </c>
      <c r="S279">
        <v>436.87</v>
      </c>
      <c r="T279">
        <v>12.35</v>
      </c>
      <c r="U279">
        <v>43687</v>
      </c>
    </row>
    <row r="280" spans="1:21" x14ac:dyDescent="0.25">
      <c r="A280" t="s">
        <v>277</v>
      </c>
      <c r="B280" t="s">
        <v>191</v>
      </c>
      <c r="C280" t="s">
        <v>55</v>
      </c>
      <c r="D280" t="s">
        <v>56</v>
      </c>
      <c r="E280" t="s">
        <v>51</v>
      </c>
      <c r="F280">
        <v>3</v>
      </c>
      <c r="G280" t="s">
        <v>257</v>
      </c>
      <c r="H280" s="2">
        <v>28</v>
      </c>
      <c r="I280" t="s">
        <v>27</v>
      </c>
      <c r="J280">
        <v>100</v>
      </c>
      <c r="K280" t="s">
        <v>257</v>
      </c>
      <c r="L280">
        <v>28</v>
      </c>
      <c r="M280" t="s">
        <v>28</v>
      </c>
      <c r="N280" t="s">
        <v>29</v>
      </c>
      <c r="O280" t="s">
        <v>276</v>
      </c>
      <c r="P280" t="s">
        <v>33</v>
      </c>
      <c r="Q280">
        <v>555.95000000000005</v>
      </c>
      <c r="R280">
        <v>31.47</v>
      </c>
      <c r="S280">
        <v>386.52</v>
      </c>
      <c r="T280">
        <v>12.17</v>
      </c>
      <c r="U280">
        <v>38652</v>
      </c>
    </row>
    <row r="281" spans="1:21" x14ac:dyDescent="0.25">
      <c r="A281" t="s">
        <v>277</v>
      </c>
      <c r="B281" t="s">
        <v>191</v>
      </c>
      <c r="C281" t="s">
        <v>55</v>
      </c>
      <c r="D281" t="s">
        <v>56</v>
      </c>
      <c r="E281" t="s">
        <v>51</v>
      </c>
      <c r="F281">
        <v>4</v>
      </c>
      <c r="G281" t="s">
        <v>257</v>
      </c>
      <c r="H281" s="2">
        <v>28</v>
      </c>
      <c r="I281" t="s">
        <v>27</v>
      </c>
      <c r="J281">
        <v>100</v>
      </c>
      <c r="K281" t="s">
        <v>257</v>
      </c>
      <c r="L281">
        <v>28</v>
      </c>
      <c r="M281" t="s">
        <v>28</v>
      </c>
      <c r="N281" t="s">
        <v>29</v>
      </c>
      <c r="O281" t="s">
        <v>276</v>
      </c>
      <c r="P281" t="s">
        <v>33</v>
      </c>
      <c r="Q281">
        <v>569.08000000000004</v>
      </c>
      <c r="R281">
        <v>32.21</v>
      </c>
      <c r="S281">
        <v>395.65</v>
      </c>
      <c r="T281">
        <v>12.12</v>
      </c>
      <c r="U281">
        <v>39565</v>
      </c>
    </row>
    <row r="282" spans="1:21" x14ac:dyDescent="0.25">
      <c r="A282" t="s">
        <v>288</v>
      </c>
      <c r="B282" t="s">
        <v>191</v>
      </c>
      <c r="C282" t="s">
        <v>55</v>
      </c>
      <c r="D282" t="s">
        <v>56</v>
      </c>
      <c r="E282" t="s">
        <v>51</v>
      </c>
      <c r="F282">
        <v>3</v>
      </c>
      <c r="G282" t="s">
        <v>279</v>
      </c>
      <c r="H282" s="2">
        <v>28</v>
      </c>
      <c r="I282" t="s">
        <v>27</v>
      </c>
      <c r="J282">
        <v>100</v>
      </c>
      <c r="K282" t="s">
        <v>279</v>
      </c>
      <c r="L282">
        <v>28</v>
      </c>
      <c r="M282" t="s">
        <v>28</v>
      </c>
      <c r="N282" t="s">
        <v>29</v>
      </c>
      <c r="O282" t="s">
        <v>289</v>
      </c>
      <c r="P282" t="s">
        <v>43</v>
      </c>
      <c r="Q282">
        <v>578</v>
      </c>
      <c r="R282">
        <v>32.71</v>
      </c>
      <c r="S282">
        <v>401.85</v>
      </c>
      <c r="T282">
        <v>12.43</v>
      </c>
      <c r="U282">
        <v>40185</v>
      </c>
    </row>
    <row r="283" spans="1:21" x14ac:dyDescent="0.25">
      <c r="A283" t="s">
        <v>288</v>
      </c>
      <c r="B283" t="s">
        <v>191</v>
      </c>
      <c r="C283" t="s">
        <v>55</v>
      </c>
      <c r="D283" t="s">
        <v>56</v>
      </c>
      <c r="E283" t="s">
        <v>51</v>
      </c>
      <c r="F283">
        <v>4</v>
      </c>
      <c r="G283" t="s">
        <v>279</v>
      </c>
      <c r="H283" s="2">
        <v>28</v>
      </c>
      <c r="I283" t="s">
        <v>27</v>
      </c>
      <c r="J283">
        <v>100</v>
      </c>
      <c r="K283" t="s">
        <v>279</v>
      </c>
      <c r="L283">
        <v>28</v>
      </c>
      <c r="M283" t="s">
        <v>28</v>
      </c>
      <c r="N283" t="s">
        <v>29</v>
      </c>
      <c r="O283" t="s">
        <v>289</v>
      </c>
      <c r="P283" t="s">
        <v>31</v>
      </c>
      <c r="Q283">
        <v>571.88</v>
      </c>
      <c r="R283">
        <v>32.36</v>
      </c>
      <c r="S283">
        <v>397.6</v>
      </c>
      <c r="T283">
        <v>12.44</v>
      </c>
      <c r="U283">
        <v>39760</v>
      </c>
    </row>
    <row r="284" spans="1:21" x14ac:dyDescent="0.25">
      <c r="A284" t="s">
        <v>290</v>
      </c>
      <c r="B284" t="s">
        <v>191</v>
      </c>
      <c r="C284" t="s">
        <v>55</v>
      </c>
      <c r="D284" t="s">
        <v>56</v>
      </c>
      <c r="E284" t="s">
        <v>51</v>
      </c>
      <c r="F284">
        <v>3</v>
      </c>
      <c r="G284" t="s">
        <v>279</v>
      </c>
      <c r="H284" s="2">
        <v>28</v>
      </c>
      <c r="I284" t="s">
        <v>27</v>
      </c>
      <c r="J284">
        <v>100</v>
      </c>
      <c r="K284" t="s">
        <v>279</v>
      </c>
      <c r="L284">
        <v>28</v>
      </c>
      <c r="M284" t="s">
        <v>28</v>
      </c>
      <c r="N284" t="s">
        <v>29</v>
      </c>
      <c r="O284" t="s">
        <v>289</v>
      </c>
      <c r="P284" t="s">
        <v>33</v>
      </c>
      <c r="Q284">
        <v>597.83000000000004</v>
      </c>
      <c r="R284">
        <v>33.840000000000003</v>
      </c>
      <c r="S284">
        <v>415.64</v>
      </c>
      <c r="T284">
        <v>12.17</v>
      </c>
      <c r="U284">
        <v>41564</v>
      </c>
    </row>
    <row r="285" spans="1:21" x14ac:dyDescent="0.25">
      <c r="A285" t="s">
        <v>290</v>
      </c>
      <c r="B285" t="s">
        <v>191</v>
      </c>
      <c r="C285" t="s">
        <v>55</v>
      </c>
      <c r="D285" t="s">
        <v>56</v>
      </c>
      <c r="E285" t="s">
        <v>51</v>
      </c>
      <c r="F285">
        <v>4</v>
      </c>
      <c r="G285" t="s">
        <v>279</v>
      </c>
      <c r="H285" s="2">
        <v>28</v>
      </c>
      <c r="I285" t="s">
        <v>27</v>
      </c>
      <c r="J285">
        <v>100</v>
      </c>
      <c r="K285" t="s">
        <v>279</v>
      </c>
      <c r="L285">
        <v>28</v>
      </c>
      <c r="M285" t="s">
        <v>28</v>
      </c>
      <c r="N285" t="s">
        <v>29</v>
      </c>
      <c r="O285" t="s">
        <v>289</v>
      </c>
      <c r="P285" t="s">
        <v>43</v>
      </c>
      <c r="Q285">
        <v>607.52</v>
      </c>
      <c r="R285">
        <v>34.39</v>
      </c>
      <c r="S285">
        <v>422.37</v>
      </c>
      <c r="T285">
        <v>12.1</v>
      </c>
      <c r="U285">
        <v>42237</v>
      </c>
    </row>
    <row r="286" spans="1:21" x14ac:dyDescent="0.25">
      <c r="A286" t="s">
        <v>143</v>
      </c>
      <c r="B286" t="s">
        <v>22</v>
      </c>
      <c r="C286" t="s">
        <v>23</v>
      </c>
      <c r="D286" t="s">
        <v>24</v>
      </c>
      <c r="E286" t="s">
        <v>144</v>
      </c>
      <c r="F286">
        <v>3</v>
      </c>
      <c r="G286" t="s">
        <v>145</v>
      </c>
      <c r="H286" s="2">
        <v>28</v>
      </c>
      <c r="I286" t="s">
        <v>27</v>
      </c>
      <c r="J286">
        <v>100</v>
      </c>
      <c r="K286" t="s">
        <v>145</v>
      </c>
      <c r="L286">
        <v>28</v>
      </c>
      <c r="M286" t="s">
        <v>28</v>
      </c>
      <c r="N286" t="s">
        <v>29</v>
      </c>
      <c r="O286" t="s">
        <v>146</v>
      </c>
      <c r="P286" t="s">
        <v>43</v>
      </c>
      <c r="Q286">
        <v>183.25</v>
      </c>
      <c r="R286">
        <v>10.37</v>
      </c>
      <c r="S286">
        <v>127.4</v>
      </c>
      <c r="T286">
        <v>12.14</v>
      </c>
      <c r="U286">
        <v>12740</v>
      </c>
    </row>
    <row r="287" spans="1:21" x14ac:dyDescent="0.25">
      <c r="A287" t="s">
        <v>143</v>
      </c>
      <c r="B287" t="s">
        <v>22</v>
      </c>
      <c r="C287" t="s">
        <v>23</v>
      </c>
      <c r="D287" t="s">
        <v>24</v>
      </c>
      <c r="E287" t="s">
        <v>144</v>
      </c>
      <c r="F287">
        <v>4</v>
      </c>
      <c r="G287" t="s">
        <v>145</v>
      </c>
      <c r="H287" s="2">
        <v>28</v>
      </c>
      <c r="I287" t="s">
        <v>27</v>
      </c>
      <c r="J287">
        <v>100</v>
      </c>
      <c r="K287" t="s">
        <v>145</v>
      </c>
      <c r="L287">
        <v>28</v>
      </c>
      <c r="M287" t="s">
        <v>28</v>
      </c>
      <c r="N287" t="s">
        <v>29</v>
      </c>
      <c r="O287" t="s">
        <v>146</v>
      </c>
      <c r="P287" t="s">
        <v>34</v>
      </c>
      <c r="Q287">
        <v>195.08</v>
      </c>
      <c r="R287">
        <v>11.04</v>
      </c>
      <c r="S287">
        <v>135.63</v>
      </c>
      <c r="T287">
        <v>12.22</v>
      </c>
      <c r="U287">
        <v>13563</v>
      </c>
    </row>
    <row r="288" spans="1:21" x14ac:dyDescent="0.25">
      <c r="A288" t="s">
        <v>180</v>
      </c>
      <c r="B288" t="s">
        <v>22</v>
      </c>
      <c r="C288" t="s">
        <v>23</v>
      </c>
      <c r="D288" t="s">
        <v>24</v>
      </c>
      <c r="E288" t="s">
        <v>144</v>
      </c>
      <c r="F288">
        <v>3</v>
      </c>
      <c r="G288" t="s">
        <v>174</v>
      </c>
      <c r="H288" s="2">
        <v>28</v>
      </c>
      <c r="I288" t="s">
        <v>27</v>
      </c>
      <c r="J288">
        <v>100</v>
      </c>
      <c r="K288" t="s">
        <v>174</v>
      </c>
      <c r="L288">
        <v>28</v>
      </c>
      <c r="M288" t="s">
        <v>28</v>
      </c>
      <c r="N288" t="s">
        <v>29</v>
      </c>
      <c r="O288" t="s">
        <v>146</v>
      </c>
      <c r="P288" t="s">
        <v>33</v>
      </c>
      <c r="Q288">
        <v>280</v>
      </c>
      <c r="R288">
        <v>15.85</v>
      </c>
      <c r="S288">
        <v>194.67</v>
      </c>
      <c r="T288">
        <v>12.47</v>
      </c>
      <c r="U288">
        <v>19467</v>
      </c>
    </row>
    <row r="289" spans="1:21" x14ac:dyDescent="0.25">
      <c r="A289" t="s">
        <v>180</v>
      </c>
      <c r="B289" t="s">
        <v>22</v>
      </c>
      <c r="C289" t="s">
        <v>23</v>
      </c>
      <c r="D289" t="s">
        <v>24</v>
      </c>
      <c r="E289" t="s">
        <v>144</v>
      </c>
      <c r="F289">
        <v>4</v>
      </c>
      <c r="G289" t="s">
        <v>174</v>
      </c>
      <c r="H289" s="2">
        <v>28</v>
      </c>
      <c r="I289" t="s">
        <v>27</v>
      </c>
      <c r="J289">
        <v>100</v>
      </c>
      <c r="K289" t="s">
        <v>174</v>
      </c>
      <c r="L289">
        <v>28</v>
      </c>
      <c r="M289" t="s">
        <v>28</v>
      </c>
      <c r="N289" t="s">
        <v>29</v>
      </c>
      <c r="O289" t="s">
        <v>146</v>
      </c>
      <c r="P289" t="s">
        <v>33</v>
      </c>
      <c r="Q289">
        <v>274.41000000000003</v>
      </c>
      <c r="R289">
        <v>15.53</v>
      </c>
      <c r="S289">
        <v>190.78</v>
      </c>
      <c r="T289">
        <v>12.38</v>
      </c>
      <c r="U289">
        <v>19078</v>
      </c>
    </row>
    <row r="290" spans="1:21" x14ac:dyDescent="0.25">
      <c r="A290" t="s">
        <v>181</v>
      </c>
      <c r="B290" t="s">
        <v>22</v>
      </c>
      <c r="C290" t="s">
        <v>23</v>
      </c>
      <c r="D290" t="s">
        <v>24</v>
      </c>
      <c r="E290" t="s">
        <v>144</v>
      </c>
      <c r="F290">
        <v>3</v>
      </c>
      <c r="G290" t="s">
        <v>174</v>
      </c>
      <c r="H290" s="2">
        <v>28</v>
      </c>
      <c r="I290" t="s">
        <v>27</v>
      </c>
      <c r="J290">
        <v>100</v>
      </c>
      <c r="K290" t="s">
        <v>174</v>
      </c>
      <c r="L290">
        <v>28</v>
      </c>
      <c r="M290" t="s">
        <v>28</v>
      </c>
      <c r="N290" t="s">
        <v>29</v>
      </c>
      <c r="O290" t="s">
        <v>146</v>
      </c>
      <c r="P290" t="s">
        <v>34</v>
      </c>
      <c r="Q290">
        <v>186.37</v>
      </c>
      <c r="R290">
        <v>10.55</v>
      </c>
      <c r="S290">
        <v>129.57</v>
      </c>
      <c r="T290">
        <v>12.31</v>
      </c>
      <c r="U290">
        <v>12957</v>
      </c>
    </row>
    <row r="291" spans="1:21" x14ac:dyDescent="0.25">
      <c r="A291" t="s">
        <v>181</v>
      </c>
      <c r="B291" t="s">
        <v>22</v>
      </c>
      <c r="C291" t="s">
        <v>23</v>
      </c>
      <c r="D291" t="s">
        <v>24</v>
      </c>
      <c r="E291" t="s">
        <v>144</v>
      </c>
      <c r="F291">
        <v>4</v>
      </c>
      <c r="G291" t="s">
        <v>174</v>
      </c>
      <c r="H291" s="2">
        <v>28</v>
      </c>
      <c r="I291" t="s">
        <v>27</v>
      </c>
      <c r="J291">
        <v>100</v>
      </c>
      <c r="K291" t="s">
        <v>174</v>
      </c>
      <c r="L291">
        <v>28</v>
      </c>
      <c r="M291" t="s">
        <v>28</v>
      </c>
      <c r="N291" t="s">
        <v>29</v>
      </c>
      <c r="O291" t="s">
        <v>146</v>
      </c>
      <c r="P291" t="s">
        <v>33</v>
      </c>
      <c r="Q291">
        <v>191.58</v>
      </c>
      <c r="R291">
        <v>10.84</v>
      </c>
      <c r="S291">
        <v>133.19</v>
      </c>
      <c r="T291">
        <v>12.35</v>
      </c>
      <c r="U291">
        <v>13319</v>
      </c>
    </row>
    <row r="292" spans="1:21" x14ac:dyDescent="0.25">
      <c r="A292" t="s">
        <v>213</v>
      </c>
      <c r="B292" t="s">
        <v>22</v>
      </c>
      <c r="C292" t="s">
        <v>23</v>
      </c>
      <c r="D292" t="s">
        <v>24</v>
      </c>
      <c r="E292" t="s">
        <v>144</v>
      </c>
      <c r="F292">
        <v>3</v>
      </c>
      <c r="G292" t="s">
        <v>214</v>
      </c>
      <c r="H292" s="2">
        <v>28</v>
      </c>
      <c r="I292" t="s">
        <v>27</v>
      </c>
      <c r="J292">
        <v>100</v>
      </c>
      <c r="K292" t="s">
        <v>214</v>
      </c>
      <c r="L292">
        <v>28</v>
      </c>
      <c r="M292" t="s">
        <v>28</v>
      </c>
      <c r="N292" t="s">
        <v>29</v>
      </c>
      <c r="O292" t="s">
        <v>146</v>
      </c>
      <c r="P292" t="s">
        <v>33</v>
      </c>
      <c r="Q292">
        <v>280</v>
      </c>
      <c r="R292">
        <v>15.85</v>
      </c>
      <c r="S292">
        <v>194.67</v>
      </c>
      <c r="T292">
        <v>12.33</v>
      </c>
      <c r="U292">
        <v>19467</v>
      </c>
    </row>
    <row r="293" spans="1:21" x14ac:dyDescent="0.25">
      <c r="A293" t="s">
        <v>213</v>
      </c>
      <c r="B293" t="s">
        <v>22</v>
      </c>
      <c r="C293" t="s">
        <v>23</v>
      </c>
      <c r="D293" t="s">
        <v>24</v>
      </c>
      <c r="E293" t="s">
        <v>144</v>
      </c>
      <c r="F293">
        <v>4</v>
      </c>
      <c r="G293" t="s">
        <v>214</v>
      </c>
      <c r="H293" s="2">
        <v>28</v>
      </c>
      <c r="I293" t="s">
        <v>27</v>
      </c>
      <c r="J293">
        <v>100</v>
      </c>
      <c r="K293" t="s">
        <v>214</v>
      </c>
      <c r="L293">
        <v>28</v>
      </c>
      <c r="M293" t="s">
        <v>28</v>
      </c>
      <c r="N293" t="s">
        <v>29</v>
      </c>
      <c r="O293" t="s">
        <v>146</v>
      </c>
      <c r="P293" t="s">
        <v>43</v>
      </c>
      <c r="Q293">
        <v>271.33999999999997</v>
      </c>
      <c r="R293">
        <v>15.36</v>
      </c>
      <c r="S293">
        <v>188.65</v>
      </c>
      <c r="T293">
        <v>12.32</v>
      </c>
      <c r="U293">
        <v>18865</v>
      </c>
    </row>
    <row r="294" spans="1:21" x14ac:dyDescent="0.25">
      <c r="A294" t="s">
        <v>215</v>
      </c>
      <c r="B294" t="s">
        <v>22</v>
      </c>
      <c r="C294" t="s">
        <v>23</v>
      </c>
      <c r="D294" t="s">
        <v>24</v>
      </c>
      <c r="E294" t="s">
        <v>144</v>
      </c>
      <c r="F294">
        <v>3</v>
      </c>
      <c r="G294" t="s">
        <v>214</v>
      </c>
      <c r="H294" s="2">
        <v>28</v>
      </c>
      <c r="I294" t="s">
        <v>27</v>
      </c>
      <c r="J294">
        <v>100</v>
      </c>
      <c r="K294" t="s">
        <v>214</v>
      </c>
      <c r="L294">
        <v>28</v>
      </c>
      <c r="M294" t="s">
        <v>28</v>
      </c>
      <c r="N294" t="s">
        <v>29</v>
      </c>
      <c r="O294" t="s">
        <v>146</v>
      </c>
      <c r="P294" t="s">
        <v>41</v>
      </c>
      <c r="Q294">
        <v>227.8</v>
      </c>
      <c r="R294">
        <v>12.89</v>
      </c>
      <c r="S294">
        <v>158.38</v>
      </c>
      <c r="T294">
        <v>12.43</v>
      </c>
      <c r="U294">
        <v>15838</v>
      </c>
    </row>
    <row r="295" spans="1:21" x14ac:dyDescent="0.25">
      <c r="A295" t="s">
        <v>215</v>
      </c>
      <c r="B295" t="s">
        <v>22</v>
      </c>
      <c r="C295" t="s">
        <v>23</v>
      </c>
      <c r="D295" t="s">
        <v>24</v>
      </c>
      <c r="E295" t="s">
        <v>144</v>
      </c>
      <c r="F295">
        <v>4</v>
      </c>
      <c r="G295" t="s">
        <v>214</v>
      </c>
      <c r="H295" s="2">
        <v>28</v>
      </c>
      <c r="I295" t="s">
        <v>27</v>
      </c>
      <c r="J295">
        <v>100</v>
      </c>
      <c r="K295" t="s">
        <v>214</v>
      </c>
      <c r="L295">
        <v>28</v>
      </c>
      <c r="M295" t="s">
        <v>28</v>
      </c>
      <c r="N295" t="s">
        <v>29</v>
      </c>
      <c r="O295" t="s">
        <v>146</v>
      </c>
      <c r="P295" t="s">
        <v>41</v>
      </c>
      <c r="Q295">
        <v>232.81</v>
      </c>
      <c r="R295">
        <v>13.18</v>
      </c>
      <c r="S295">
        <v>161.86000000000001</v>
      </c>
      <c r="T295">
        <v>12.2</v>
      </c>
      <c r="U295">
        <v>16186</v>
      </c>
    </row>
    <row r="296" spans="1:21" x14ac:dyDescent="0.25">
      <c r="A296" t="s">
        <v>239</v>
      </c>
      <c r="B296" t="s">
        <v>22</v>
      </c>
      <c r="C296" t="s">
        <v>23</v>
      </c>
      <c r="D296" t="s">
        <v>24</v>
      </c>
      <c r="E296" t="s">
        <v>144</v>
      </c>
      <c r="F296">
        <v>3</v>
      </c>
      <c r="G296" t="s">
        <v>230</v>
      </c>
      <c r="H296" s="2">
        <v>28</v>
      </c>
      <c r="I296" t="s">
        <v>27</v>
      </c>
      <c r="J296">
        <v>100</v>
      </c>
      <c r="K296" t="s">
        <v>230</v>
      </c>
      <c r="L296">
        <v>28</v>
      </c>
      <c r="M296" t="s">
        <v>28</v>
      </c>
      <c r="N296" t="s">
        <v>29</v>
      </c>
      <c r="O296" t="s">
        <v>146</v>
      </c>
      <c r="P296" t="s">
        <v>41</v>
      </c>
      <c r="Q296">
        <v>280</v>
      </c>
      <c r="R296">
        <v>15.85</v>
      </c>
      <c r="S296">
        <v>194.67</v>
      </c>
      <c r="T296">
        <v>12.32</v>
      </c>
      <c r="U296">
        <v>19467</v>
      </c>
    </row>
    <row r="297" spans="1:21" x14ac:dyDescent="0.25">
      <c r="A297" t="s">
        <v>239</v>
      </c>
      <c r="B297" t="s">
        <v>22</v>
      </c>
      <c r="C297" t="s">
        <v>23</v>
      </c>
      <c r="D297" t="s">
        <v>24</v>
      </c>
      <c r="E297" t="s">
        <v>144</v>
      </c>
      <c r="F297">
        <v>4</v>
      </c>
      <c r="G297" t="s">
        <v>230</v>
      </c>
      <c r="H297" s="2">
        <v>28</v>
      </c>
      <c r="I297" t="s">
        <v>27</v>
      </c>
      <c r="J297">
        <v>100</v>
      </c>
      <c r="K297" t="s">
        <v>230</v>
      </c>
      <c r="L297">
        <v>28</v>
      </c>
      <c r="M297" t="s">
        <v>28</v>
      </c>
      <c r="N297" t="s">
        <v>29</v>
      </c>
      <c r="O297" t="s">
        <v>146</v>
      </c>
      <c r="P297" t="s">
        <v>33</v>
      </c>
      <c r="Q297">
        <v>270.44</v>
      </c>
      <c r="R297">
        <v>15.31</v>
      </c>
      <c r="S297">
        <v>188.02</v>
      </c>
      <c r="T297">
        <v>12.46</v>
      </c>
      <c r="U297">
        <v>18802</v>
      </c>
    </row>
    <row r="298" spans="1:21" x14ac:dyDescent="0.25">
      <c r="A298" t="s">
        <v>240</v>
      </c>
      <c r="B298" t="s">
        <v>22</v>
      </c>
      <c r="C298" t="s">
        <v>23</v>
      </c>
      <c r="D298" t="s">
        <v>24</v>
      </c>
      <c r="E298" t="s">
        <v>144</v>
      </c>
      <c r="F298">
        <v>3</v>
      </c>
      <c r="G298" t="s">
        <v>230</v>
      </c>
      <c r="H298" s="2">
        <v>28</v>
      </c>
      <c r="I298" t="s">
        <v>27</v>
      </c>
      <c r="J298">
        <v>100</v>
      </c>
      <c r="K298" t="s">
        <v>230</v>
      </c>
      <c r="L298">
        <v>28</v>
      </c>
      <c r="M298" t="s">
        <v>28</v>
      </c>
      <c r="N298" t="s">
        <v>29</v>
      </c>
      <c r="O298" t="s">
        <v>146</v>
      </c>
      <c r="P298" t="s">
        <v>43</v>
      </c>
      <c r="Q298">
        <v>192.78</v>
      </c>
      <c r="R298">
        <v>10.91</v>
      </c>
      <c r="S298">
        <v>134.03</v>
      </c>
      <c r="T298">
        <v>12.19</v>
      </c>
      <c r="U298">
        <v>13403</v>
      </c>
    </row>
    <row r="299" spans="1:21" x14ac:dyDescent="0.25">
      <c r="A299" t="s">
        <v>240</v>
      </c>
      <c r="B299" t="s">
        <v>22</v>
      </c>
      <c r="C299" t="s">
        <v>23</v>
      </c>
      <c r="D299" t="s">
        <v>24</v>
      </c>
      <c r="E299" t="s">
        <v>144</v>
      </c>
      <c r="F299">
        <v>4</v>
      </c>
      <c r="G299" t="s">
        <v>230</v>
      </c>
      <c r="H299" s="2">
        <v>28</v>
      </c>
      <c r="I299" t="s">
        <v>27</v>
      </c>
      <c r="J299">
        <v>100</v>
      </c>
      <c r="K299" t="s">
        <v>230</v>
      </c>
      <c r="L299">
        <v>28</v>
      </c>
      <c r="M299" t="s">
        <v>28</v>
      </c>
      <c r="N299" t="s">
        <v>29</v>
      </c>
      <c r="O299" t="s">
        <v>146</v>
      </c>
      <c r="P299" t="s">
        <v>31</v>
      </c>
      <c r="Q299">
        <v>186.71</v>
      </c>
      <c r="R299">
        <v>10.57</v>
      </c>
      <c r="S299">
        <v>129.81</v>
      </c>
      <c r="T299">
        <v>12.33</v>
      </c>
      <c r="U299">
        <v>12981</v>
      </c>
    </row>
    <row r="300" spans="1:21" x14ac:dyDescent="0.25">
      <c r="A300" t="s">
        <v>256</v>
      </c>
      <c r="B300" t="s">
        <v>22</v>
      </c>
      <c r="C300" t="s">
        <v>23</v>
      </c>
      <c r="D300" t="s">
        <v>24</v>
      </c>
      <c r="E300" t="s">
        <v>144</v>
      </c>
      <c r="F300">
        <v>3</v>
      </c>
      <c r="G300" t="s">
        <v>257</v>
      </c>
      <c r="H300" s="2">
        <v>28</v>
      </c>
      <c r="I300" t="s">
        <v>27</v>
      </c>
      <c r="J300">
        <v>100</v>
      </c>
      <c r="K300" t="s">
        <v>257</v>
      </c>
      <c r="L300">
        <v>28</v>
      </c>
      <c r="M300" t="s">
        <v>28</v>
      </c>
      <c r="N300" t="s">
        <v>29</v>
      </c>
      <c r="O300" t="s">
        <v>258</v>
      </c>
      <c r="P300" t="s">
        <v>43</v>
      </c>
      <c r="Q300">
        <v>220.87</v>
      </c>
      <c r="R300">
        <v>12.5</v>
      </c>
      <c r="S300">
        <v>153.56</v>
      </c>
      <c r="T300">
        <v>12.15</v>
      </c>
      <c r="U300">
        <v>15356</v>
      </c>
    </row>
    <row r="301" spans="1:21" x14ac:dyDescent="0.25">
      <c r="A301" t="s">
        <v>256</v>
      </c>
      <c r="B301" t="s">
        <v>22</v>
      </c>
      <c r="C301" t="s">
        <v>23</v>
      </c>
      <c r="D301" t="s">
        <v>24</v>
      </c>
      <c r="E301" t="s">
        <v>144</v>
      </c>
      <c r="F301">
        <v>4</v>
      </c>
      <c r="G301" t="s">
        <v>257</v>
      </c>
      <c r="H301" s="2">
        <v>28</v>
      </c>
      <c r="I301" t="s">
        <v>27</v>
      </c>
      <c r="J301">
        <v>100</v>
      </c>
      <c r="K301" t="s">
        <v>257</v>
      </c>
      <c r="L301">
        <v>28</v>
      </c>
      <c r="M301" t="s">
        <v>28</v>
      </c>
      <c r="N301" t="s">
        <v>29</v>
      </c>
      <c r="O301" t="s">
        <v>258</v>
      </c>
      <c r="P301" t="s">
        <v>33</v>
      </c>
      <c r="Q301">
        <v>225.85</v>
      </c>
      <c r="R301">
        <v>12.78</v>
      </c>
      <c r="S301">
        <v>157.02000000000001</v>
      </c>
      <c r="T301">
        <v>12.24</v>
      </c>
      <c r="U301">
        <v>15702</v>
      </c>
    </row>
    <row r="302" spans="1:21" x14ac:dyDescent="0.25">
      <c r="A302" t="s">
        <v>259</v>
      </c>
      <c r="B302" t="s">
        <v>22</v>
      </c>
      <c r="C302" t="s">
        <v>23</v>
      </c>
      <c r="D302" t="s">
        <v>24</v>
      </c>
      <c r="E302" t="s">
        <v>144</v>
      </c>
      <c r="F302">
        <v>3</v>
      </c>
      <c r="G302" t="s">
        <v>257</v>
      </c>
      <c r="H302" s="2">
        <v>28</v>
      </c>
      <c r="I302" t="s">
        <v>27</v>
      </c>
      <c r="J302">
        <v>100</v>
      </c>
      <c r="K302" t="s">
        <v>257</v>
      </c>
      <c r="L302">
        <v>28</v>
      </c>
      <c r="M302" t="s">
        <v>28</v>
      </c>
      <c r="N302" t="s">
        <v>29</v>
      </c>
      <c r="O302" t="s">
        <v>258</v>
      </c>
      <c r="P302" t="s">
        <v>34</v>
      </c>
      <c r="Q302">
        <v>269.52999999999997</v>
      </c>
      <c r="R302">
        <v>15.26</v>
      </c>
      <c r="S302">
        <v>187.39</v>
      </c>
      <c r="T302">
        <v>12.16</v>
      </c>
      <c r="U302">
        <v>18739</v>
      </c>
    </row>
    <row r="303" spans="1:21" x14ac:dyDescent="0.25">
      <c r="A303" t="s">
        <v>259</v>
      </c>
      <c r="B303" t="s">
        <v>22</v>
      </c>
      <c r="C303" t="s">
        <v>23</v>
      </c>
      <c r="D303" t="s">
        <v>24</v>
      </c>
      <c r="E303" t="s">
        <v>144</v>
      </c>
      <c r="F303">
        <v>4</v>
      </c>
      <c r="G303" t="s">
        <v>257</v>
      </c>
      <c r="H303" s="2">
        <v>28</v>
      </c>
      <c r="I303" t="s">
        <v>27</v>
      </c>
      <c r="J303">
        <v>100</v>
      </c>
      <c r="K303" t="s">
        <v>257</v>
      </c>
      <c r="L303">
        <v>28</v>
      </c>
      <c r="M303" t="s">
        <v>28</v>
      </c>
      <c r="N303" t="s">
        <v>29</v>
      </c>
      <c r="O303" t="s">
        <v>258</v>
      </c>
      <c r="P303" t="s">
        <v>34</v>
      </c>
      <c r="Q303">
        <v>260.36</v>
      </c>
      <c r="R303">
        <v>14.74</v>
      </c>
      <c r="S303">
        <v>181.01</v>
      </c>
      <c r="T303">
        <v>12.41</v>
      </c>
      <c r="U303">
        <v>18101</v>
      </c>
    </row>
    <row r="304" spans="1:21" x14ac:dyDescent="0.25">
      <c r="A304" t="s">
        <v>260</v>
      </c>
      <c r="B304" t="s">
        <v>22</v>
      </c>
      <c r="C304" t="s">
        <v>23</v>
      </c>
      <c r="D304" t="s">
        <v>24</v>
      </c>
      <c r="E304" t="s">
        <v>144</v>
      </c>
      <c r="F304">
        <v>3</v>
      </c>
      <c r="G304" t="s">
        <v>257</v>
      </c>
      <c r="H304" s="2">
        <v>28</v>
      </c>
      <c r="I304" t="s">
        <v>27</v>
      </c>
      <c r="J304">
        <v>100</v>
      </c>
      <c r="K304" t="s">
        <v>257</v>
      </c>
      <c r="L304">
        <v>28</v>
      </c>
      <c r="M304" t="s">
        <v>28</v>
      </c>
      <c r="N304" t="s">
        <v>29</v>
      </c>
      <c r="O304" t="s">
        <v>261</v>
      </c>
      <c r="P304" t="s">
        <v>31</v>
      </c>
      <c r="Q304">
        <v>213.26</v>
      </c>
      <c r="R304">
        <v>12.07</v>
      </c>
      <c r="S304">
        <v>148.27000000000001</v>
      </c>
      <c r="T304">
        <v>12.46</v>
      </c>
      <c r="U304">
        <v>14827</v>
      </c>
    </row>
    <row r="305" spans="1:21" x14ac:dyDescent="0.25">
      <c r="A305" t="s">
        <v>260</v>
      </c>
      <c r="B305" t="s">
        <v>22</v>
      </c>
      <c r="C305" t="s">
        <v>23</v>
      </c>
      <c r="D305" t="s">
        <v>24</v>
      </c>
      <c r="E305" t="s">
        <v>144</v>
      </c>
      <c r="F305">
        <v>4</v>
      </c>
      <c r="G305" t="s">
        <v>257</v>
      </c>
      <c r="H305" s="2">
        <v>28</v>
      </c>
      <c r="I305" t="s">
        <v>27</v>
      </c>
      <c r="J305">
        <v>100</v>
      </c>
      <c r="K305" t="s">
        <v>257</v>
      </c>
      <c r="L305">
        <v>28</v>
      </c>
      <c r="M305" t="s">
        <v>28</v>
      </c>
      <c r="N305" t="s">
        <v>29</v>
      </c>
      <c r="O305" t="s">
        <v>261</v>
      </c>
      <c r="P305" t="s">
        <v>31</v>
      </c>
      <c r="Q305">
        <v>216.69</v>
      </c>
      <c r="R305">
        <v>12.26</v>
      </c>
      <c r="S305">
        <v>150.65</v>
      </c>
      <c r="T305">
        <v>12.49</v>
      </c>
      <c r="U305">
        <v>15065</v>
      </c>
    </row>
    <row r="306" spans="1:21" x14ac:dyDescent="0.25">
      <c r="A306" t="s">
        <v>262</v>
      </c>
      <c r="B306" t="s">
        <v>22</v>
      </c>
      <c r="C306" t="s">
        <v>23</v>
      </c>
      <c r="D306" t="s">
        <v>24</v>
      </c>
      <c r="E306" t="s">
        <v>144</v>
      </c>
      <c r="F306">
        <v>3</v>
      </c>
      <c r="G306" t="s">
        <v>257</v>
      </c>
      <c r="H306" s="2">
        <v>28</v>
      </c>
      <c r="I306" t="s">
        <v>27</v>
      </c>
      <c r="J306">
        <v>100</v>
      </c>
      <c r="K306" t="s">
        <v>257</v>
      </c>
      <c r="L306">
        <v>28</v>
      </c>
      <c r="M306" t="s">
        <v>28</v>
      </c>
      <c r="N306" t="s">
        <v>29</v>
      </c>
      <c r="O306" t="s">
        <v>261</v>
      </c>
      <c r="P306" t="s">
        <v>31</v>
      </c>
      <c r="Q306">
        <v>260.67</v>
      </c>
      <c r="R306">
        <v>14.75</v>
      </c>
      <c r="S306">
        <v>181.23</v>
      </c>
      <c r="T306">
        <v>12.18</v>
      </c>
      <c r="U306">
        <v>18123</v>
      </c>
    </row>
    <row r="307" spans="1:21" x14ac:dyDescent="0.25">
      <c r="A307" t="s">
        <v>262</v>
      </c>
      <c r="B307" t="s">
        <v>22</v>
      </c>
      <c r="C307" t="s">
        <v>23</v>
      </c>
      <c r="D307" t="s">
        <v>24</v>
      </c>
      <c r="E307" t="s">
        <v>144</v>
      </c>
      <c r="F307">
        <v>4</v>
      </c>
      <c r="G307" t="s">
        <v>257</v>
      </c>
      <c r="H307" s="2">
        <v>28</v>
      </c>
      <c r="I307" t="s">
        <v>27</v>
      </c>
      <c r="J307">
        <v>100</v>
      </c>
      <c r="K307" t="s">
        <v>257</v>
      </c>
      <c r="L307">
        <v>28</v>
      </c>
      <c r="M307" t="s">
        <v>28</v>
      </c>
      <c r="N307" t="s">
        <v>29</v>
      </c>
      <c r="O307" t="s">
        <v>261</v>
      </c>
      <c r="P307" t="s">
        <v>31</v>
      </c>
      <c r="Q307">
        <v>256.45999999999998</v>
      </c>
      <c r="R307">
        <v>14.52</v>
      </c>
      <c r="S307">
        <v>178.3</v>
      </c>
      <c r="T307">
        <v>12.5</v>
      </c>
      <c r="U307">
        <v>17830</v>
      </c>
    </row>
    <row r="308" spans="1:21" x14ac:dyDescent="0.25">
      <c r="A308" t="s">
        <v>311</v>
      </c>
      <c r="B308" t="s">
        <v>22</v>
      </c>
      <c r="C308" t="s">
        <v>23</v>
      </c>
      <c r="D308" t="s">
        <v>24</v>
      </c>
      <c r="E308" t="s">
        <v>144</v>
      </c>
      <c r="F308">
        <v>3</v>
      </c>
      <c r="G308" t="s">
        <v>305</v>
      </c>
      <c r="H308" s="2">
        <v>28</v>
      </c>
      <c r="I308" t="s">
        <v>27</v>
      </c>
      <c r="J308">
        <v>100</v>
      </c>
      <c r="K308" t="s">
        <v>305</v>
      </c>
      <c r="L308">
        <v>28</v>
      </c>
      <c r="M308" t="s">
        <v>28</v>
      </c>
      <c r="N308" t="s">
        <v>29</v>
      </c>
      <c r="O308" t="s">
        <v>258</v>
      </c>
      <c r="P308" t="s">
        <v>33</v>
      </c>
      <c r="Q308">
        <v>280</v>
      </c>
      <c r="R308">
        <v>15.85</v>
      </c>
      <c r="S308">
        <v>194.67</v>
      </c>
      <c r="T308">
        <v>12.19</v>
      </c>
      <c r="U308">
        <v>19467</v>
      </c>
    </row>
    <row r="309" spans="1:21" x14ac:dyDescent="0.25">
      <c r="A309" t="s">
        <v>311</v>
      </c>
      <c r="B309" t="s">
        <v>22</v>
      </c>
      <c r="C309" t="s">
        <v>23</v>
      </c>
      <c r="D309" t="s">
        <v>24</v>
      </c>
      <c r="E309" t="s">
        <v>144</v>
      </c>
      <c r="F309">
        <v>4</v>
      </c>
      <c r="G309" t="s">
        <v>305</v>
      </c>
      <c r="H309" s="2">
        <v>28</v>
      </c>
      <c r="I309" t="s">
        <v>27</v>
      </c>
      <c r="J309">
        <v>100</v>
      </c>
      <c r="K309" t="s">
        <v>305</v>
      </c>
      <c r="L309">
        <v>28</v>
      </c>
      <c r="M309" t="s">
        <v>28</v>
      </c>
      <c r="N309" t="s">
        <v>29</v>
      </c>
      <c r="O309" t="s">
        <v>258</v>
      </c>
      <c r="P309" t="s">
        <v>43</v>
      </c>
      <c r="Q309">
        <v>269.85000000000002</v>
      </c>
      <c r="R309">
        <v>15.27</v>
      </c>
      <c r="S309">
        <v>187.61</v>
      </c>
      <c r="T309">
        <v>12.46</v>
      </c>
      <c r="U309">
        <v>18761</v>
      </c>
    </row>
    <row r="310" spans="1:21" x14ac:dyDescent="0.25">
      <c r="A310" t="s">
        <v>312</v>
      </c>
      <c r="B310" t="s">
        <v>22</v>
      </c>
      <c r="C310" t="s">
        <v>23</v>
      </c>
      <c r="D310" t="s">
        <v>24</v>
      </c>
      <c r="E310" t="s">
        <v>144</v>
      </c>
      <c r="F310">
        <v>3</v>
      </c>
      <c r="G310" t="s">
        <v>305</v>
      </c>
      <c r="H310" s="2">
        <v>28</v>
      </c>
      <c r="I310" t="s">
        <v>27</v>
      </c>
      <c r="J310">
        <v>100</v>
      </c>
      <c r="K310" t="s">
        <v>305</v>
      </c>
      <c r="L310">
        <v>28</v>
      </c>
      <c r="M310" t="s">
        <v>28</v>
      </c>
      <c r="N310" t="s">
        <v>29</v>
      </c>
      <c r="O310" t="s">
        <v>258</v>
      </c>
      <c r="P310" t="s">
        <v>41</v>
      </c>
      <c r="Q310">
        <v>184.96</v>
      </c>
      <c r="R310">
        <v>10.47</v>
      </c>
      <c r="S310">
        <v>128.59</v>
      </c>
      <c r="T310">
        <v>12.42</v>
      </c>
      <c r="U310">
        <v>12859</v>
      </c>
    </row>
    <row r="311" spans="1:21" x14ac:dyDescent="0.25">
      <c r="A311" t="s">
        <v>312</v>
      </c>
      <c r="B311" t="s">
        <v>22</v>
      </c>
      <c r="C311" t="s">
        <v>23</v>
      </c>
      <c r="D311" t="s">
        <v>24</v>
      </c>
      <c r="E311" t="s">
        <v>144</v>
      </c>
      <c r="F311">
        <v>4</v>
      </c>
      <c r="G311" t="s">
        <v>305</v>
      </c>
      <c r="H311" s="2">
        <v>28</v>
      </c>
      <c r="I311" t="s">
        <v>27</v>
      </c>
      <c r="J311">
        <v>100</v>
      </c>
      <c r="K311" t="s">
        <v>305</v>
      </c>
      <c r="L311">
        <v>28</v>
      </c>
      <c r="M311" t="s">
        <v>28</v>
      </c>
      <c r="N311" t="s">
        <v>29</v>
      </c>
      <c r="O311" t="s">
        <v>258</v>
      </c>
      <c r="P311" t="s">
        <v>43</v>
      </c>
      <c r="Q311">
        <v>178.03</v>
      </c>
      <c r="R311">
        <v>10.08</v>
      </c>
      <c r="S311">
        <v>123.77</v>
      </c>
      <c r="T311">
        <v>12.26</v>
      </c>
      <c r="U311">
        <v>12377</v>
      </c>
    </row>
    <row r="312" spans="1:21" x14ac:dyDescent="0.25">
      <c r="A312" t="s">
        <v>161</v>
      </c>
      <c r="B312" t="s">
        <v>162</v>
      </c>
      <c r="C312" t="s">
        <v>55</v>
      </c>
      <c r="D312" t="s">
        <v>56</v>
      </c>
      <c r="E312" t="s">
        <v>163</v>
      </c>
      <c r="F312">
        <v>3</v>
      </c>
      <c r="G312" t="s">
        <v>145</v>
      </c>
      <c r="H312" s="2">
        <v>28</v>
      </c>
      <c r="I312" t="s">
        <v>27</v>
      </c>
      <c r="J312">
        <v>100</v>
      </c>
      <c r="K312" t="s">
        <v>145</v>
      </c>
      <c r="L312">
        <v>28</v>
      </c>
      <c r="M312" t="s">
        <v>28</v>
      </c>
      <c r="N312" t="s">
        <v>29</v>
      </c>
      <c r="O312" t="s">
        <v>164</v>
      </c>
      <c r="P312" t="s">
        <v>41</v>
      </c>
      <c r="Q312">
        <v>280</v>
      </c>
      <c r="R312">
        <v>15.85</v>
      </c>
      <c r="S312">
        <v>194.67</v>
      </c>
      <c r="T312">
        <v>12.23</v>
      </c>
      <c r="U312">
        <v>19467</v>
      </c>
    </row>
    <row r="313" spans="1:21" x14ac:dyDescent="0.25">
      <c r="A313" t="s">
        <v>161</v>
      </c>
      <c r="B313" t="s">
        <v>162</v>
      </c>
      <c r="C313" t="s">
        <v>55</v>
      </c>
      <c r="D313" t="s">
        <v>56</v>
      </c>
      <c r="E313" t="s">
        <v>163</v>
      </c>
      <c r="F313">
        <v>4</v>
      </c>
      <c r="G313" t="s">
        <v>145</v>
      </c>
      <c r="H313" s="2">
        <v>28</v>
      </c>
      <c r="I313" t="s">
        <v>27</v>
      </c>
      <c r="J313">
        <v>100</v>
      </c>
      <c r="K313" t="s">
        <v>145</v>
      </c>
      <c r="L313">
        <v>28</v>
      </c>
      <c r="M313" t="s">
        <v>28</v>
      </c>
      <c r="N313" t="s">
        <v>29</v>
      </c>
      <c r="O313" t="s">
        <v>164</v>
      </c>
      <c r="P313" t="s">
        <v>33</v>
      </c>
      <c r="Q313">
        <v>272.60000000000002</v>
      </c>
      <c r="R313">
        <v>15.43</v>
      </c>
      <c r="S313">
        <v>189.52</v>
      </c>
      <c r="T313">
        <v>12.4</v>
      </c>
      <c r="U313">
        <v>18952</v>
      </c>
    </row>
    <row r="314" spans="1:21" x14ac:dyDescent="0.25">
      <c r="A314" t="s">
        <v>165</v>
      </c>
      <c r="B314" t="s">
        <v>162</v>
      </c>
      <c r="C314" t="s">
        <v>55</v>
      </c>
      <c r="D314" t="s">
        <v>56</v>
      </c>
      <c r="E314" t="s">
        <v>163</v>
      </c>
      <c r="F314">
        <v>3</v>
      </c>
      <c r="G314" t="s">
        <v>145</v>
      </c>
      <c r="H314" s="2">
        <v>28</v>
      </c>
      <c r="I314" t="s">
        <v>27</v>
      </c>
      <c r="J314">
        <v>100</v>
      </c>
      <c r="K314" t="s">
        <v>145</v>
      </c>
      <c r="L314">
        <v>28</v>
      </c>
      <c r="M314" t="s">
        <v>28</v>
      </c>
      <c r="N314" t="s">
        <v>29</v>
      </c>
      <c r="O314" t="s">
        <v>164</v>
      </c>
      <c r="P314" t="s">
        <v>31</v>
      </c>
      <c r="Q314">
        <v>226.18</v>
      </c>
      <c r="R314">
        <v>12.8</v>
      </c>
      <c r="S314">
        <v>157.25</v>
      </c>
      <c r="T314">
        <v>12.29</v>
      </c>
      <c r="U314">
        <v>15725</v>
      </c>
    </row>
    <row r="315" spans="1:21" x14ac:dyDescent="0.25">
      <c r="A315" t="s">
        <v>165</v>
      </c>
      <c r="B315" t="s">
        <v>162</v>
      </c>
      <c r="C315" t="s">
        <v>55</v>
      </c>
      <c r="D315" t="s">
        <v>56</v>
      </c>
      <c r="E315" t="s">
        <v>163</v>
      </c>
      <c r="F315">
        <v>4</v>
      </c>
      <c r="G315" t="s">
        <v>145</v>
      </c>
      <c r="H315" s="2">
        <v>28</v>
      </c>
      <c r="I315" t="s">
        <v>27</v>
      </c>
      <c r="J315">
        <v>100</v>
      </c>
      <c r="K315" t="s">
        <v>145</v>
      </c>
      <c r="L315">
        <v>28</v>
      </c>
      <c r="M315" t="s">
        <v>28</v>
      </c>
      <c r="N315" t="s">
        <v>29</v>
      </c>
      <c r="O315" t="s">
        <v>164</v>
      </c>
      <c r="P315" t="s">
        <v>43</v>
      </c>
      <c r="Q315">
        <v>229.21</v>
      </c>
      <c r="R315">
        <v>12.97</v>
      </c>
      <c r="S315">
        <v>159.36000000000001</v>
      </c>
      <c r="T315">
        <v>12.12</v>
      </c>
      <c r="U315">
        <v>15936</v>
      </c>
    </row>
    <row r="316" spans="1:21" x14ac:dyDescent="0.25">
      <c r="A316" t="s">
        <v>315</v>
      </c>
      <c r="B316" t="s">
        <v>48</v>
      </c>
      <c r="C316" t="s">
        <v>49</v>
      </c>
      <c r="D316" t="s">
        <v>50</v>
      </c>
      <c r="E316" t="s">
        <v>163</v>
      </c>
      <c r="F316">
        <v>3</v>
      </c>
      <c r="G316" t="s">
        <v>305</v>
      </c>
      <c r="H316" s="2">
        <v>28</v>
      </c>
      <c r="I316" t="s">
        <v>27</v>
      </c>
      <c r="J316">
        <v>100</v>
      </c>
      <c r="K316" t="s">
        <v>305</v>
      </c>
      <c r="L316">
        <v>28</v>
      </c>
      <c r="M316" t="s">
        <v>28</v>
      </c>
      <c r="N316" t="s">
        <v>29</v>
      </c>
      <c r="O316" t="s">
        <v>316</v>
      </c>
      <c r="P316" t="s">
        <v>41</v>
      </c>
      <c r="Q316">
        <v>280</v>
      </c>
      <c r="R316">
        <v>15.85</v>
      </c>
      <c r="S316">
        <v>194.67</v>
      </c>
      <c r="T316">
        <v>12.2</v>
      </c>
      <c r="U316">
        <v>19467</v>
      </c>
    </row>
    <row r="317" spans="1:21" x14ac:dyDescent="0.25">
      <c r="A317" t="s">
        <v>315</v>
      </c>
      <c r="B317" t="s">
        <v>48</v>
      </c>
      <c r="C317" t="s">
        <v>49</v>
      </c>
      <c r="D317" t="s">
        <v>50</v>
      </c>
      <c r="E317" t="s">
        <v>163</v>
      </c>
      <c r="F317">
        <v>4</v>
      </c>
      <c r="G317" t="s">
        <v>305</v>
      </c>
      <c r="H317" s="2">
        <v>28</v>
      </c>
      <c r="I317" t="s">
        <v>27</v>
      </c>
      <c r="J317">
        <v>100</v>
      </c>
      <c r="K317" t="s">
        <v>305</v>
      </c>
      <c r="L317">
        <v>28</v>
      </c>
      <c r="M317" t="s">
        <v>28</v>
      </c>
      <c r="N317" t="s">
        <v>29</v>
      </c>
      <c r="O317" t="s">
        <v>316</v>
      </c>
      <c r="P317" t="s">
        <v>43</v>
      </c>
      <c r="Q317">
        <v>270.5</v>
      </c>
      <c r="R317">
        <v>15.31</v>
      </c>
      <c r="S317">
        <v>188.06</v>
      </c>
      <c r="T317">
        <v>12.17</v>
      </c>
      <c r="U317">
        <v>18806</v>
      </c>
    </row>
    <row r="318" spans="1:21" x14ac:dyDescent="0.25">
      <c r="A318" t="s">
        <v>35</v>
      </c>
      <c r="B318" t="s">
        <v>36</v>
      </c>
      <c r="C318" t="s">
        <v>37</v>
      </c>
      <c r="D318" t="s">
        <v>38</v>
      </c>
      <c r="E318" t="s">
        <v>39</v>
      </c>
      <c r="F318">
        <v>3</v>
      </c>
      <c r="G318" t="s">
        <v>26</v>
      </c>
      <c r="H318" s="2">
        <v>28</v>
      </c>
      <c r="I318" t="s">
        <v>27</v>
      </c>
      <c r="J318">
        <v>100</v>
      </c>
      <c r="K318" t="s">
        <v>26</v>
      </c>
      <c r="L318">
        <v>28</v>
      </c>
      <c r="M318" t="s">
        <v>28</v>
      </c>
      <c r="N318" t="s">
        <v>29</v>
      </c>
      <c r="O318" t="s">
        <v>40</v>
      </c>
      <c r="P318" t="s">
        <v>31</v>
      </c>
      <c r="Q318">
        <v>631.94000000000005</v>
      </c>
      <c r="R318">
        <v>35.770000000000003</v>
      </c>
      <c r="S318">
        <v>439.35</v>
      </c>
      <c r="T318">
        <v>12.44</v>
      </c>
      <c r="U318">
        <v>119.23</v>
      </c>
    </row>
    <row r="319" spans="1:21" x14ac:dyDescent="0.25">
      <c r="A319" t="s">
        <v>35</v>
      </c>
      <c r="B319" t="s">
        <v>36</v>
      </c>
      <c r="C319" t="s">
        <v>37</v>
      </c>
      <c r="D319" t="s">
        <v>38</v>
      </c>
      <c r="E319" t="s">
        <v>39</v>
      </c>
      <c r="F319">
        <v>4</v>
      </c>
      <c r="G319" t="s">
        <v>26</v>
      </c>
      <c r="H319" s="2">
        <v>28</v>
      </c>
      <c r="I319" t="s">
        <v>27</v>
      </c>
      <c r="J319">
        <v>100</v>
      </c>
      <c r="K319" t="s">
        <v>26</v>
      </c>
      <c r="L319">
        <v>28</v>
      </c>
      <c r="M319" t="s">
        <v>28</v>
      </c>
      <c r="N319" t="s">
        <v>29</v>
      </c>
      <c r="O319" t="s">
        <v>40</v>
      </c>
      <c r="P319" t="s">
        <v>41</v>
      </c>
      <c r="Q319">
        <v>624.54999999999995</v>
      </c>
      <c r="R319">
        <v>35.35</v>
      </c>
      <c r="S319">
        <v>434.21</v>
      </c>
      <c r="T319">
        <v>12.24</v>
      </c>
      <c r="U319">
        <v>117.83</v>
      </c>
    </row>
    <row r="320" spans="1:21" x14ac:dyDescent="0.25">
      <c r="A320" t="s">
        <v>42</v>
      </c>
      <c r="B320" t="s">
        <v>36</v>
      </c>
      <c r="C320" t="s">
        <v>37</v>
      </c>
      <c r="D320" t="s">
        <v>38</v>
      </c>
      <c r="E320" t="s">
        <v>39</v>
      </c>
      <c r="F320">
        <v>3</v>
      </c>
      <c r="G320" t="s">
        <v>26</v>
      </c>
      <c r="H320" s="2">
        <v>28</v>
      </c>
      <c r="I320" t="s">
        <v>27</v>
      </c>
      <c r="J320">
        <v>100</v>
      </c>
      <c r="K320" t="s">
        <v>26</v>
      </c>
      <c r="L320">
        <v>28</v>
      </c>
      <c r="M320" t="s">
        <v>28</v>
      </c>
      <c r="N320" t="s">
        <v>29</v>
      </c>
      <c r="O320" t="s">
        <v>40</v>
      </c>
      <c r="P320" t="s">
        <v>41</v>
      </c>
      <c r="Q320">
        <v>587.04999999999995</v>
      </c>
      <c r="R320">
        <v>33.22</v>
      </c>
      <c r="S320">
        <v>408.14</v>
      </c>
      <c r="T320">
        <v>12.21</v>
      </c>
      <c r="U320">
        <v>110.73</v>
      </c>
    </row>
    <row r="321" spans="1:21" x14ac:dyDescent="0.25">
      <c r="A321" t="s">
        <v>42</v>
      </c>
      <c r="B321" t="s">
        <v>36</v>
      </c>
      <c r="C321" t="s">
        <v>37</v>
      </c>
      <c r="D321" t="s">
        <v>38</v>
      </c>
      <c r="E321" t="s">
        <v>39</v>
      </c>
      <c r="F321">
        <v>4</v>
      </c>
      <c r="G321" t="s">
        <v>26</v>
      </c>
      <c r="H321" s="2">
        <v>28</v>
      </c>
      <c r="I321" t="s">
        <v>27</v>
      </c>
      <c r="J321">
        <v>100</v>
      </c>
      <c r="K321" t="s">
        <v>26</v>
      </c>
      <c r="L321">
        <v>28</v>
      </c>
      <c r="M321" t="s">
        <v>28</v>
      </c>
      <c r="N321" t="s">
        <v>29</v>
      </c>
      <c r="O321" t="s">
        <v>40</v>
      </c>
      <c r="P321" t="s">
        <v>43</v>
      </c>
      <c r="Q321">
        <v>576.08000000000004</v>
      </c>
      <c r="R321">
        <v>32.6</v>
      </c>
      <c r="S321">
        <v>400.52</v>
      </c>
      <c r="T321">
        <v>12.35</v>
      </c>
      <c r="U321">
        <v>108.67</v>
      </c>
    </row>
    <row r="322" spans="1:21" x14ac:dyDescent="0.25">
      <c r="A322" t="s">
        <v>44</v>
      </c>
      <c r="B322" t="s">
        <v>36</v>
      </c>
      <c r="C322" t="s">
        <v>37</v>
      </c>
      <c r="D322" t="s">
        <v>38</v>
      </c>
      <c r="E322" t="s">
        <v>39</v>
      </c>
      <c r="F322">
        <v>3</v>
      </c>
      <c r="G322" t="s">
        <v>26</v>
      </c>
      <c r="H322" s="2">
        <v>28</v>
      </c>
      <c r="I322" t="s">
        <v>27</v>
      </c>
      <c r="J322">
        <v>100</v>
      </c>
      <c r="K322" t="s">
        <v>26</v>
      </c>
      <c r="L322">
        <v>28</v>
      </c>
      <c r="M322" t="s">
        <v>28</v>
      </c>
      <c r="N322" t="s">
        <v>29</v>
      </c>
      <c r="O322" t="s">
        <v>45</v>
      </c>
      <c r="P322" t="s">
        <v>43</v>
      </c>
      <c r="Q322">
        <v>601.83000000000004</v>
      </c>
      <c r="R322">
        <v>34.06</v>
      </c>
      <c r="S322">
        <v>418.42</v>
      </c>
      <c r="T322">
        <v>12.46</v>
      </c>
      <c r="U322">
        <v>113.53</v>
      </c>
    </row>
    <row r="323" spans="1:21" x14ac:dyDescent="0.25">
      <c r="A323" t="s">
        <v>44</v>
      </c>
      <c r="B323" t="s">
        <v>36</v>
      </c>
      <c r="C323" t="s">
        <v>37</v>
      </c>
      <c r="D323" t="s">
        <v>38</v>
      </c>
      <c r="E323" t="s">
        <v>39</v>
      </c>
      <c r="F323">
        <v>4</v>
      </c>
      <c r="G323" t="s">
        <v>26</v>
      </c>
      <c r="H323" s="2">
        <v>28</v>
      </c>
      <c r="I323" t="s">
        <v>27</v>
      </c>
      <c r="J323">
        <v>100</v>
      </c>
      <c r="K323" t="s">
        <v>26</v>
      </c>
      <c r="L323">
        <v>28</v>
      </c>
      <c r="M323" t="s">
        <v>28</v>
      </c>
      <c r="N323" t="s">
        <v>29</v>
      </c>
      <c r="O323" t="s">
        <v>45</v>
      </c>
      <c r="P323" t="s">
        <v>34</v>
      </c>
      <c r="Q323">
        <v>584.29</v>
      </c>
      <c r="R323">
        <v>33.07</v>
      </c>
      <c r="S323">
        <v>406.22</v>
      </c>
      <c r="T323">
        <v>12.44</v>
      </c>
      <c r="U323">
        <v>110.23</v>
      </c>
    </row>
    <row r="324" spans="1:21" x14ac:dyDescent="0.25">
      <c r="A324" t="s">
        <v>46</v>
      </c>
      <c r="B324" t="s">
        <v>36</v>
      </c>
      <c r="C324" t="s">
        <v>37</v>
      </c>
      <c r="D324" t="s">
        <v>38</v>
      </c>
      <c r="E324" t="s">
        <v>39</v>
      </c>
      <c r="F324">
        <v>3</v>
      </c>
      <c r="G324" t="s">
        <v>26</v>
      </c>
      <c r="H324" s="2">
        <v>28</v>
      </c>
      <c r="I324" t="s">
        <v>27</v>
      </c>
      <c r="J324">
        <v>100</v>
      </c>
      <c r="K324" t="s">
        <v>26</v>
      </c>
      <c r="L324">
        <v>28</v>
      </c>
      <c r="M324" t="s">
        <v>28</v>
      </c>
      <c r="N324" t="s">
        <v>29</v>
      </c>
      <c r="O324" t="s">
        <v>45</v>
      </c>
      <c r="P324" t="s">
        <v>34</v>
      </c>
      <c r="Q324">
        <v>652.66999999999996</v>
      </c>
      <c r="R324">
        <v>36.94</v>
      </c>
      <c r="S324">
        <v>453.77</v>
      </c>
      <c r="T324">
        <v>12.44</v>
      </c>
      <c r="U324">
        <v>123.13</v>
      </c>
    </row>
    <row r="325" spans="1:21" x14ac:dyDescent="0.25">
      <c r="A325" t="s">
        <v>46</v>
      </c>
      <c r="B325" t="s">
        <v>36</v>
      </c>
      <c r="C325" t="s">
        <v>37</v>
      </c>
      <c r="D325" t="s">
        <v>38</v>
      </c>
      <c r="E325" t="s">
        <v>39</v>
      </c>
      <c r="F325">
        <v>4</v>
      </c>
      <c r="G325" t="s">
        <v>26</v>
      </c>
      <c r="H325" s="2">
        <v>28</v>
      </c>
      <c r="I325" t="s">
        <v>27</v>
      </c>
      <c r="J325">
        <v>100</v>
      </c>
      <c r="K325" t="s">
        <v>26</v>
      </c>
      <c r="L325">
        <v>28</v>
      </c>
      <c r="M325" t="s">
        <v>28</v>
      </c>
      <c r="N325" t="s">
        <v>29</v>
      </c>
      <c r="O325" t="s">
        <v>45</v>
      </c>
      <c r="P325" t="s">
        <v>41</v>
      </c>
      <c r="Q325">
        <v>644.69000000000005</v>
      </c>
      <c r="R325">
        <v>36.49</v>
      </c>
      <c r="S325">
        <v>448.22</v>
      </c>
      <c r="T325">
        <v>12.48</v>
      </c>
      <c r="U325">
        <v>121.63</v>
      </c>
    </row>
    <row r="326" spans="1:21" x14ac:dyDescent="0.25">
      <c r="A326" t="s">
        <v>81</v>
      </c>
      <c r="B326" t="s">
        <v>36</v>
      </c>
      <c r="C326" t="s">
        <v>37</v>
      </c>
      <c r="D326" t="s">
        <v>38</v>
      </c>
      <c r="E326" t="s">
        <v>39</v>
      </c>
      <c r="F326">
        <v>3</v>
      </c>
      <c r="G326" t="s">
        <v>72</v>
      </c>
      <c r="H326" s="2">
        <v>28</v>
      </c>
      <c r="I326" t="s">
        <v>27</v>
      </c>
      <c r="J326">
        <v>100</v>
      </c>
      <c r="K326" t="s">
        <v>72</v>
      </c>
      <c r="L326">
        <v>28</v>
      </c>
      <c r="M326" t="s">
        <v>28</v>
      </c>
      <c r="N326" t="s">
        <v>29</v>
      </c>
      <c r="O326" t="s">
        <v>82</v>
      </c>
      <c r="P326" t="s">
        <v>34</v>
      </c>
      <c r="Q326">
        <v>575.47</v>
      </c>
      <c r="R326">
        <v>32.57</v>
      </c>
      <c r="S326">
        <v>400.09</v>
      </c>
      <c r="T326">
        <v>12.2</v>
      </c>
      <c r="U326">
        <v>108.57</v>
      </c>
    </row>
    <row r="327" spans="1:21" x14ac:dyDescent="0.25">
      <c r="A327" t="s">
        <v>81</v>
      </c>
      <c r="B327" t="s">
        <v>36</v>
      </c>
      <c r="C327" t="s">
        <v>37</v>
      </c>
      <c r="D327" t="s">
        <v>38</v>
      </c>
      <c r="E327" t="s">
        <v>39</v>
      </c>
      <c r="F327">
        <v>4</v>
      </c>
      <c r="G327" t="s">
        <v>72</v>
      </c>
      <c r="H327" s="2">
        <v>28</v>
      </c>
      <c r="I327" t="s">
        <v>27</v>
      </c>
      <c r="J327">
        <v>100</v>
      </c>
      <c r="K327" t="s">
        <v>72</v>
      </c>
      <c r="L327">
        <v>28</v>
      </c>
      <c r="M327" t="s">
        <v>28</v>
      </c>
      <c r="N327" t="s">
        <v>29</v>
      </c>
      <c r="O327" t="s">
        <v>82</v>
      </c>
      <c r="P327" t="s">
        <v>31</v>
      </c>
      <c r="Q327">
        <v>585.91</v>
      </c>
      <c r="R327">
        <v>33.159999999999997</v>
      </c>
      <c r="S327">
        <v>407.35</v>
      </c>
      <c r="T327">
        <v>12.45</v>
      </c>
      <c r="U327">
        <v>110.53</v>
      </c>
    </row>
    <row r="328" spans="1:21" x14ac:dyDescent="0.25">
      <c r="A328" t="s">
        <v>83</v>
      </c>
      <c r="B328" t="s">
        <v>36</v>
      </c>
      <c r="C328" t="s">
        <v>37</v>
      </c>
      <c r="D328" t="s">
        <v>38</v>
      </c>
      <c r="E328" t="s">
        <v>39</v>
      </c>
      <c r="F328">
        <v>3</v>
      </c>
      <c r="G328" t="s">
        <v>26</v>
      </c>
      <c r="H328" s="2">
        <v>28</v>
      </c>
      <c r="I328" t="s">
        <v>27</v>
      </c>
      <c r="J328">
        <v>100</v>
      </c>
      <c r="K328" t="s">
        <v>26</v>
      </c>
      <c r="L328">
        <v>28</v>
      </c>
      <c r="M328" t="s">
        <v>28</v>
      </c>
      <c r="N328" t="s">
        <v>29</v>
      </c>
      <c r="O328" t="s">
        <v>45</v>
      </c>
      <c r="P328" t="s">
        <v>41</v>
      </c>
      <c r="Q328">
        <v>639.03</v>
      </c>
      <c r="R328">
        <v>36.17</v>
      </c>
      <c r="S328">
        <v>444.28</v>
      </c>
      <c r="T328">
        <v>12.11</v>
      </c>
      <c r="U328">
        <v>120.57</v>
      </c>
    </row>
    <row r="329" spans="1:21" x14ac:dyDescent="0.25">
      <c r="A329" t="s">
        <v>83</v>
      </c>
      <c r="B329" t="s">
        <v>36</v>
      </c>
      <c r="C329" t="s">
        <v>37</v>
      </c>
      <c r="D329" t="s">
        <v>38</v>
      </c>
      <c r="E329" t="s">
        <v>39</v>
      </c>
      <c r="F329">
        <v>4</v>
      </c>
      <c r="G329" t="s">
        <v>26</v>
      </c>
      <c r="H329" s="2">
        <v>28</v>
      </c>
      <c r="I329" t="s">
        <v>27</v>
      </c>
      <c r="J329">
        <v>100</v>
      </c>
      <c r="K329" t="s">
        <v>26</v>
      </c>
      <c r="L329">
        <v>28</v>
      </c>
      <c r="M329" t="s">
        <v>28</v>
      </c>
      <c r="N329" t="s">
        <v>29</v>
      </c>
      <c r="O329" t="s">
        <v>45</v>
      </c>
      <c r="P329" t="s">
        <v>43</v>
      </c>
      <c r="Q329">
        <v>630.17999999999995</v>
      </c>
      <c r="R329">
        <v>35.67</v>
      </c>
      <c r="S329">
        <v>438.13</v>
      </c>
      <c r="T329">
        <v>12.28</v>
      </c>
      <c r="U329">
        <v>118.9</v>
      </c>
    </row>
    <row r="330" spans="1:21" x14ac:dyDescent="0.25">
      <c r="A330" t="s">
        <v>113</v>
      </c>
      <c r="B330" t="s">
        <v>36</v>
      </c>
      <c r="C330" t="s">
        <v>37</v>
      </c>
      <c r="D330" t="s">
        <v>38</v>
      </c>
      <c r="E330" t="s">
        <v>39</v>
      </c>
      <c r="F330">
        <v>3</v>
      </c>
      <c r="G330" t="s">
        <v>108</v>
      </c>
      <c r="H330" s="2">
        <v>28</v>
      </c>
      <c r="I330" t="s">
        <v>27</v>
      </c>
      <c r="J330">
        <v>100</v>
      </c>
      <c r="K330" t="s">
        <v>108</v>
      </c>
      <c r="L330">
        <v>28</v>
      </c>
      <c r="M330" t="s">
        <v>28</v>
      </c>
      <c r="N330" t="s">
        <v>29</v>
      </c>
      <c r="O330" t="s">
        <v>114</v>
      </c>
      <c r="P330" t="s">
        <v>43</v>
      </c>
      <c r="Q330">
        <v>582.44000000000005</v>
      </c>
      <c r="R330">
        <v>32.96</v>
      </c>
      <c r="S330">
        <v>404.94</v>
      </c>
      <c r="T330">
        <v>12.35</v>
      </c>
      <c r="U330">
        <v>109.87</v>
      </c>
    </row>
    <row r="331" spans="1:21" x14ac:dyDescent="0.25">
      <c r="A331" t="s">
        <v>113</v>
      </c>
      <c r="B331" t="s">
        <v>36</v>
      </c>
      <c r="C331" t="s">
        <v>37</v>
      </c>
      <c r="D331" t="s">
        <v>38</v>
      </c>
      <c r="E331" t="s">
        <v>39</v>
      </c>
      <c r="F331">
        <v>4</v>
      </c>
      <c r="G331" t="s">
        <v>108</v>
      </c>
      <c r="H331" s="2">
        <v>28</v>
      </c>
      <c r="I331" t="s">
        <v>27</v>
      </c>
      <c r="J331">
        <v>100</v>
      </c>
      <c r="K331" t="s">
        <v>108</v>
      </c>
      <c r="L331">
        <v>28</v>
      </c>
      <c r="M331" t="s">
        <v>28</v>
      </c>
      <c r="N331" t="s">
        <v>29</v>
      </c>
      <c r="O331" t="s">
        <v>114</v>
      </c>
      <c r="P331" t="s">
        <v>43</v>
      </c>
      <c r="Q331">
        <v>564.45000000000005</v>
      </c>
      <c r="R331">
        <v>31.94</v>
      </c>
      <c r="S331">
        <v>392.43</v>
      </c>
      <c r="T331">
        <v>12.18</v>
      </c>
      <c r="U331">
        <v>106.47</v>
      </c>
    </row>
    <row r="332" spans="1:21" x14ac:dyDescent="0.25">
      <c r="A332" t="s">
        <v>115</v>
      </c>
      <c r="B332" t="s">
        <v>36</v>
      </c>
      <c r="C332" t="s">
        <v>37</v>
      </c>
      <c r="D332" t="s">
        <v>38</v>
      </c>
      <c r="E332" t="s">
        <v>39</v>
      </c>
      <c r="F332">
        <v>3</v>
      </c>
      <c r="G332" t="s">
        <v>108</v>
      </c>
      <c r="H332" s="2">
        <v>28</v>
      </c>
      <c r="I332" t="s">
        <v>27</v>
      </c>
      <c r="J332">
        <v>100</v>
      </c>
      <c r="K332" t="s">
        <v>108</v>
      </c>
      <c r="L332">
        <v>28</v>
      </c>
      <c r="M332" t="s">
        <v>28</v>
      </c>
      <c r="N332" t="s">
        <v>29</v>
      </c>
      <c r="O332" t="s">
        <v>114</v>
      </c>
      <c r="P332" t="s">
        <v>31</v>
      </c>
      <c r="Q332">
        <v>587.49</v>
      </c>
      <c r="R332">
        <v>33.25</v>
      </c>
      <c r="S332">
        <v>408.45</v>
      </c>
      <c r="T332">
        <v>12.25</v>
      </c>
      <c r="U332">
        <v>110.83</v>
      </c>
    </row>
    <row r="333" spans="1:21" x14ac:dyDescent="0.25">
      <c r="A333" t="s">
        <v>115</v>
      </c>
      <c r="B333" t="s">
        <v>36</v>
      </c>
      <c r="C333" t="s">
        <v>37</v>
      </c>
      <c r="D333" t="s">
        <v>38</v>
      </c>
      <c r="E333" t="s">
        <v>39</v>
      </c>
      <c r="F333">
        <v>4</v>
      </c>
      <c r="G333" t="s">
        <v>108</v>
      </c>
      <c r="H333" s="2">
        <v>28</v>
      </c>
      <c r="I333" t="s">
        <v>27</v>
      </c>
      <c r="J333">
        <v>100</v>
      </c>
      <c r="K333" t="s">
        <v>108</v>
      </c>
      <c r="L333">
        <v>28</v>
      </c>
      <c r="M333" t="s">
        <v>28</v>
      </c>
      <c r="N333" t="s">
        <v>29</v>
      </c>
      <c r="O333" t="s">
        <v>114</v>
      </c>
      <c r="P333" t="s">
        <v>31</v>
      </c>
      <c r="Q333">
        <v>600.39</v>
      </c>
      <c r="R333">
        <v>33.979999999999997</v>
      </c>
      <c r="S333">
        <v>417.42</v>
      </c>
      <c r="T333">
        <v>12.24</v>
      </c>
      <c r="U333">
        <v>113.27</v>
      </c>
    </row>
    <row r="334" spans="1:21" x14ac:dyDescent="0.25">
      <c r="A334" t="s">
        <v>125</v>
      </c>
      <c r="B334" t="s">
        <v>36</v>
      </c>
      <c r="C334" t="s">
        <v>37</v>
      </c>
      <c r="D334" t="s">
        <v>38</v>
      </c>
      <c r="E334" t="s">
        <v>39</v>
      </c>
      <c r="F334">
        <v>3</v>
      </c>
      <c r="G334" t="s">
        <v>108</v>
      </c>
      <c r="H334" s="2">
        <v>28</v>
      </c>
      <c r="I334" t="s">
        <v>27</v>
      </c>
      <c r="J334">
        <v>100</v>
      </c>
      <c r="K334" t="s">
        <v>108</v>
      </c>
      <c r="L334">
        <v>28</v>
      </c>
      <c r="M334" t="s">
        <v>28</v>
      </c>
      <c r="N334" t="s">
        <v>29</v>
      </c>
      <c r="O334" t="s">
        <v>114</v>
      </c>
      <c r="P334" t="s">
        <v>33</v>
      </c>
      <c r="Q334">
        <v>577.70000000000005</v>
      </c>
      <c r="R334">
        <v>32.700000000000003</v>
      </c>
      <c r="S334">
        <v>401.64</v>
      </c>
      <c r="T334">
        <v>12.3</v>
      </c>
      <c r="U334">
        <v>109</v>
      </c>
    </row>
    <row r="335" spans="1:21" x14ac:dyDescent="0.25">
      <c r="A335" t="s">
        <v>125</v>
      </c>
      <c r="B335" t="s">
        <v>36</v>
      </c>
      <c r="C335" t="s">
        <v>37</v>
      </c>
      <c r="D335" t="s">
        <v>38</v>
      </c>
      <c r="E335" t="s">
        <v>39</v>
      </c>
      <c r="F335">
        <v>4</v>
      </c>
      <c r="G335" t="s">
        <v>108</v>
      </c>
      <c r="H335" s="2">
        <v>28</v>
      </c>
      <c r="I335" t="s">
        <v>27</v>
      </c>
      <c r="J335">
        <v>100</v>
      </c>
      <c r="K335" t="s">
        <v>108</v>
      </c>
      <c r="L335">
        <v>28</v>
      </c>
      <c r="M335" t="s">
        <v>28</v>
      </c>
      <c r="N335" t="s">
        <v>29</v>
      </c>
      <c r="O335" t="s">
        <v>114</v>
      </c>
      <c r="P335" t="s">
        <v>31</v>
      </c>
      <c r="Q335">
        <v>585.83000000000004</v>
      </c>
      <c r="R335">
        <v>33.159999999999997</v>
      </c>
      <c r="S335">
        <v>407.29</v>
      </c>
      <c r="T335">
        <v>12.14</v>
      </c>
      <c r="U335">
        <v>110.53</v>
      </c>
    </row>
    <row r="336" spans="1:21" x14ac:dyDescent="0.25">
      <c r="A336" t="s">
        <v>126</v>
      </c>
      <c r="B336" t="s">
        <v>36</v>
      </c>
      <c r="C336" t="s">
        <v>37</v>
      </c>
      <c r="D336" t="s">
        <v>38</v>
      </c>
      <c r="E336" t="s">
        <v>39</v>
      </c>
      <c r="F336">
        <v>3</v>
      </c>
      <c r="G336" t="s">
        <v>108</v>
      </c>
      <c r="H336" s="2">
        <v>28</v>
      </c>
      <c r="I336" t="s">
        <v>27</v>
      </c>
      <c r="J336">
        <v>100</v>
      </c>
      <c r="K336" t="s">
        <v>108</v>
      </c>
      <c r="L336">
        <v>28</v>
      </c>
      <c r="M336" t="s">
        <v>28</v>
      </c>
      <c r="N336" t="s">
        <v>29</v>
      </c>
      <c r="O336" t="s">
        <v>114</v>
      </c>
      <c r="P336" t="s">
        <v>33</v>
      </c>
      <c r="Q336">
        <v>654.75</v>
      </c>
      <c r="R336">
        <v>37.06</v>
      </c>
      <c r="S336">
        <v>455.21</v>
      </c>
      <c r="T336">
        <v>12.19</v>
      </c>
      <c r="U336">
        <v>123.53</v>
      </c>
    </row>
    <row r="337" spans="1:21" x14ac:dyDescent="0.25">
      <c r="A337" t="s">
        <v>126</v>
      </c>
      <c r="B337" t="s">
        <v>36</v>
      </c>
      <c r="C337" t="s">
        <v>37</v>
      </c>
      <c r="D337" t="s">
        <v>38</v>
      </c>
      <c r="E337" t="s">
        <v>39</v>
      </c>
      <c r="F337">
        <v>4</v>
      </c>
      <c r="G337" t="s">
        <v>108</v>
      </c>
      <c r="H337" s="2">
        <v>28</v>
      </c>
      <c r="I337" t="s">
        <v>27</v>
      </c>
      <c r="J337">
        <v>100</v>
      </c>
      <c r="K337" t="s">
        <v>108</v>
      </c>
      <c r="L337">
        <v>28</v>
      </c>
      <c r="M337" t="s">
        <v>28</v>
      </c>
      <c r="N337" t="s">
        <v>29</v>
      </c>
      <c r="O337" t="s">
        <v>114</v>
      </c>
      <c r="P337" t="s">
        <v>33</v>
      </c>
      <c r="Q337">
        <v>646.28</v>
      </c>
      <c r="R337">
        <v>36.58</v>
      </c>
      <c r="S337">
        <v>449.32</v>
      </c>
      <c r="T337">
        <v>12.12</v>
      </c>
      <c r="U337">
        <v>121.93</v>
      </c>
    </row>
    <row r="338" spans="1:21" x14ac:dyDescent="0.25">
      <c r="A338" t="s">
        <v>156</v>
      </c>
      <c r="B338" t="s">
        <v>36</v>
      </c>
      <c r="C338" t="s">
        <v>37</v>
      </c>
      <c r="D338" t="s">
        <v>38</v>
      </c>
      <c r="E338" t="s">
        <v>39</v>
      </c>
      <c r="F338">
        <v>3</v>
      </c>
      <c r="G338" t="s">
        <v>145</v>
      </c>
      <c r="H338" s="2">
        <v>28</v>
      </c>
      <c r="I338" t="s">
        <v>27</v>
      </c>
      <c r="J338">
        <v>100</v>
      </c>
      <c r="K338" t="s">
        <v>145</v>
      </c>
      <c r="L338">
        <v>28</v>
      </c>
      <c r="M338" t="s">
        <v>106</v>
      </c>
      <c r="N338" t="s">
        <v>29</v>
      </c>
      <c r="O338" t="s">
        <v>157</v>
      </c>
      <c r="P338" t="s">
        <v>34</v>
      </c>
      <c r="Q338">
        <v>510</v>
      </c>
      <c r="R338">
        <v>28.86</v>
      </c>
      <c r="S338">
        <v>354.57</v>
      </c>
      <c r="T338">
        <v>12.28</v>
      </c>
      <c r="U338">
        <v>96.2</v>
      </c>
    </row>
    <row r="339" spans="1:21" x14ac:dyDescent="0.25">
      <c r="A339" t="s">
        <v>156</v>
      </c>
      <c r="B339" t="s">
        <v>36</v>
      </c>
      <c r="C339" t="s">
        <v>37</v>
      </c>
      <c r="D339" t="s">
        <v>38</v>
      </c>
      <c r="E339" t="s">
        <v>39</v>
      </c>
      <c r="F339">
        <v>4</v>
      </c>
      <c r="G339" t="s">
        <v>145</v>
      </c>
      <c r="H339" s="2">
        <v>28</v>
      </c>
      <c r="I339" t="s">
        <v>27</v>
      </c>
      <c r="J339">
        <v>100</v>
      </c>
      <c r="K339" t="s">
        <v>145</v>
      </c>
      <c r="L339">
        <v>28</v>
      </c>
      <c r="M339" t="s">
        <v>106</v>
      </c>
      <c r="N339" t="s">
        <v>29</v>
      </c>
      <c r="O339" t="s">
        <v>157</v>
      </c>
      <c r="P339" t="s">
        <v>33</v>
      </c>
      <c r="Q339">
        <v>510.41</v>
      </c>
      <c r="R339">
        <v>28.88</v>
      </c>
      <c r="S339">
        <v>354.86</v>
      </c>
      <c r="T339">
        <v>12.32</v>
      </c>
      <c r="U339">
        <v>96.27</v>
      </c>
    </row>
    <row r="340" spans="1:21" x14ac:dyDescent="0.25">
      <c r="A340" t="s">
        <v>158</v>
      </c>
      <c r="B340" t="s">
        <v>36</v>
      </c>
      <c r="C340" t="s">
        <v>37</v>
      </c>
      <c r="D340" t="s">
        <v>38</v>
      </c>
      <c r="E340" t="s">
        <v>39</v>
      </c>
      <c r="F340">
        <v>3</v>
      </c>
      <c r="G340" t="s">
        <v>145</v>
      </c>
      <c r="H340" s="2">
        <v>28</v>
      </c>
      <c r="I340" t="s">
        <v>27</v>
      </c>
      <c r="J340">
        <v>100</v>
      </c>
      <c r="K340" t="s">
        <v>145</v>
      </c>
      <c r="L340">
        <v>28</v>
      </c>
      <c r="M340" t="s">
        <v>28</v>
      </c>
      <c r="N340" t="s">
        <v>29</v>
      </c>
      <c r="O340" t="s">
        <v>157</v>
      </c>
      <c r="P340" t="s">
        <v>43</v>
      </c>
      <c r="Q340">
        <v>615.27</v>
      </c>
      <c r="R340">
        <v>34.83</v>
      </c>
      <c r="S340">
        <v>427.76</v>
      </c>
      <c r="T340">
        <v>12.12</v>
      </c>
      <c r="U340">
        <v>116.1</v>
      </c>
    </row>
    <row r="341" spans="1:21" x14ac:dyDescent="0.25">
      <c r="A341" t="s">
        <v>158</v>
      </c>
      <c r="B341" t="s">
        <v>36</v>
      </c>
      <c r="C341" t="s">
        <v>37</v>
      </c>
      <c r="D341" t="s">
        <v>38</v>
      </c>
      <c r="E341" t="s">
        <v>39</v>
      </c>
      <c r="F341">
        <v>4</v>
      </c>
      <c r="G341" t="s">
        <v>145</v>
      </c>
      <c r="H341" s="2">
        <v>28</v>
      </c>
      <c r="I341" t="s">
        <v>27</v>
      </c>
      <c r="J341">
        <v>100</v>
      </c>
      <c r="K341" t="s">
        <v>145</v>
      </c>
      <c r="L341">
        <v>28</v>
      </c>
      <c r="M341" t="s">
        <v>28</v>
      </c>
      <c r="N341" t="s">
        <v>29</v>
      </c>
      <c r="O341" t="s">
        <v>157</v>
      </c>
      <c r="P341" t="s">
        <v>34</v>
      </c>
      <c r="Q341">
        <v>606.64</v>
      </c>
      <c r="R341">
        <v>34.340000000000003</v>
      </c>
      <c r="S341">
        <v>421.76</v>
      </c>
      <c r="T341">
        <v>12.18</v>
      </c>
      <c r="U341">
        <v>114.47</v>
      </c>
    </row>
    <row r="342" spans="1:21" x14ac:dyDescent="0.25">
      <c r="A342" t="s">
        <v>159</v>
      </c>
      <c r="B342" t="s">
        <v>36</v>
      </c>
      <c r="C342" t="s">
        <v>37</v>
      </c>
      <c r="D342" t="s">
        <v>38</v>
      </c>
      <c r="E342" t="s">
        <v>39</v>
      </c>
      <c r="F342">
        <v>3</v>
      </c>
      <c r="G342" t="s">
        <v>145</v>
      </c>
      <c r="H342" s="2">
        <v>28</v>
      </c>
      <c r="I342" t="s">
        <v>27</v>
      </c>
      <c r="J342">
        <v>100</v>
      </c>
      <c r="K342" t="s">
        <v>145</v>
      </c>
      <c r="L342">
        <v>28</v>
      </c>
      <c r="M342" t="s">
        <v>28</v>
      </c>
      <c r="N342" t="s">
        <v>29</v>
      </c>
      <c r="O342" t="s">
        <v>157</v>
      </c>
      <c r="P342" t="s">
        <v>31</v>
      </c>
      <c r="Q342">
        <v>577.11</v>
      </c>
      <c r="R342">
        <v>32.659999999999997</v>
      </c>
      <c r="S342">
        <v>401.23</v>
      </c>
      <c r="T342">
        <v>12.37</v>
      </c>
      <c r="U342">
        <v>108.87</v>
      </c>
    </row>
    <row r="343" spans="1:21" x14ac:dyDescent="0.25">
      <c r="A343" t="s">
        <v>159</v>
      </c>
      <c r="B343" t="s">
        <v>36</v>
      </c>
      <c r="C343" t="s">
        <v>37</v>
      </c>
      <c r="D343" t="s">
        <v>38</v>
      </c>
      <c r="E343" t="s">
        <v>39</v>
      </c>
      <c r="F343">
        <v>4</v>
      </c>
      <c r="G343" t="s">
        <v>145</v>
      </c>
      <c r="H343" s="2">
        <v>28</v>
      </c>
      <c r="I343" t="s">
        <v>27</v>
      </c>
      <c r="J343">
        <v>100</v>
      </c>
      <c r="K343" t="s">
        <v>145</v>
      </c>
      <c r="L343">
        <v>28</v>
      </c>
      <c r="M343" t="s">
        <v>28</v>
      </c>
      <c r="N343" t="s">
        <v>29</v>
      </c>
      <c r="O343" t="s">
        <v>157</v>
      </c>
      <c r="P343" t="s">
        <v>41</v>
      </c>
      <c r="Q343">
        <v>561.09</v>
      </c>
      <c r="R343">
        <v>31.75</v>
      </c>
      <c r="S343">
        <v>390.09</v>
      </c>
      <c r="T343">
        <v>12.45</v>
      </c>
      <c r="U343">
        <v>105.83</v>
      </c>
    </row>
    <row r="344" spans="1:21" x14ac:dyDescent="0.25">
      <c r="A344" t="s">
        <v>184</v>
      </c>
      <c r="B344" t="s">
        <v>36</v>
      </c>
      <c r="C344" t="s">
        <v>37</v>
      </c>
      <c r="D344" t="s">
        <v>38</v>
      </c>
      <c r="E344" t="s">
        <v>39</v>
      </c>
      <c r="F344">
        <v>3</v>
      </c>
      <c r="G344" t="s">
        <v>174</v>
      </c>
      <c r="H344" s="2">
        <v>28</v>
      </c>
      <c r="I344" t="s">
        <v>27</v>
      </c>
      <c r="J344">
        <v>100</v>
      </c>
      <c r="K344" t="s">
        <v>174</v>
      </c>
      <c r="L344">
        <v>28</v>
      </c>
      <c r="M344" t="s">
        <v>28</v>
      </c>
      <c r="N344" t="s">
        <v>29</v>
      </c>
      <c r="O344" t="s">
        <v>185</v>
      </c>
      <c r="P344" t="s">
        <v>31</v>
      </c>
      <c r="Q344">
        <v>584.35</v>
      </c>
      <c r="R344">
        <v>33.07</v>
      </c>
      <c r="S344">
        <v>406.27</v>
      </c>
      <c r="T344">
        <v>12.38</v>
      </c>
      <c r="U344">
        <v>110.23</v>
      </c>
    </row>
    <row r="345" spans="1:21" x14ac:dyDescent="0.25">
      <c r="A345" t="s">
        <v>184</v>
      </c>
      <c r="B345" t="s">
        <v>36</v>
      </c>
      <c r="C345" t="s">
        <v>37</v>
      </c>
      <c r="D345" t="s">
        <v>38</v>
      </c>
      <c r="E345" t="s">
        <v>39</v>
      </c>
      <c r="F345">
        <v>4</v>
      </c>
      <c r="G345" t="s">
        <v>174</v>
      </c>
      <c r="H345" s="2">
        <v>28</v>
      </c>
      <c r="I345" t="s">
        <v>27</v>
      </c>
      <c r="J345">
        <v>100</v>
      </c>
      <c r="K345" t="s">
        <v>174</v>
      </c>
      <c r="L345">
        <v>28</v>
      </c>
      <c r="M345" t="s">
        <v>28</v>
      </c>
      <c r="N345" t="s">
        <v>29</v>
      </c>
      <c r="O345" t="s">
        <v>185</v>
      </c>
      <c r="P345" t="s">
        <v>41</v>
      </c>
      <c r="Q345">
        <v>574.16999999999996</v>
      </c>
      <c r="R345">
        <v>32.49</v>
      </c>
      <c r="S345">
        <v>399.19</v>
      </c>
      <c r="T345">
        <v>12.18</v>
      </c>
      <c r="U345">
        <v>108.3</v>
      </c>
    </row>
    <row r="346" spans="1:21" x14ac:dyDescent="0.25">
      <c r="A346" t="s">
        <v>186</v>
      </c>
      <c r="B346" t="s">
        <v>36</v>
      </c>
      <c r="C346" t="s">
        <v>37</v>
      </c>
      <c r="D346" t="s">
        <v>38</v>
      </c>
      <c r="E346" t="s">
        <v>39</v>
      </c>
      <c r="F346">
        <v>3</v>
      </c>
      <c r="G346" t="s">
        <v>174</v>
      </c>
      <c r="H346" s="2">
        <v>28</v>
      </c>
      <c r="I346" t="s">
        <v>27</v>
      </c>
      <c r="J346">
        <v>100</v>
      </c>
      <c r="K346" t="s">
        <v>174</v>
      </c>
      <c r="L346">
        <v>28</v>
      </c>
      <c r="M346" t="s">
        <v>28</v>
      </c>
      <c r="N346" t="s">
        <v>29</v>
      </c>
      <c r="O346" t="s">
        <v>185</v>
      </c>
      <c r="P346" t="s">
        <v>34</v>
      </c>
      <c r="Q346">
        <v>595.45000000000005</v>
      </c>
      <c r="R346">
        <v>33.700000000000003</v>
      </c>
      <c r="S346">
        <v>413.98</v>
      </c>
      <c r="T346">
        <v>12.5</v>
      </c>
      <c r="U346">
        <v>112.33</v>
      </c>
    </row>
    <row r="347" spans="1:21" x14ac:dyDescent="0.25">
      <c r="A347" t="s">
        <v>186</v>
      </c>
      <c r="B347" t="s">
        <v>36</v>
      </c>
      <c r="C347" t="s">
        <v>37</v>
      </c>
      <c r="D347" t="s">
        <v>38</v>
      </c>
      <c r="E347" t="s">
        <v>39</v>
      </c>
      <c r="F347">
        <v>4</v>
      </c>
      <c r="G347" t="s">
        <v>174</v>
      </c>
      <c r="H347" s="2">
        <v>28</v>
      </c>
      <c r="I347" t="s">
        <v>27</v>
      </c>
      <c r="J347">
        <v>100</v>
      </c>
      <c r="K347" t="s">
        <v>174</v>
      </c>
      <c r="L347">
        <v>28</v>
      </c>
      <c r="M347" t="s">
        <v>28</v>
      </c>
      <c r="N347" t="s">
        <v>29</v>
      </c>
      <c r="O347" t="s">
        <v>185</v>
      </c>
      <c r="P347" t="s">
        <v>41</v>
      </c>
      <c r="Q347">
        <v>601.70000000000005</v>
      </c>
      <c r="R347">
        <v>34.06</v>
      </c>
      <c r="S347">
        <v>418.33</v>
      </c>
      <c r="T347">
        <v>12.18</v>
      </c>
      <c r="U347">
        <v>113.53</v>
      </c>
    </row>
    <row r="348" spans="1:21" x14ac:dyDescent="0.25">
      <c r="A348" t="s">
        <v>241</v>
      </c>
      <c r="B348" t="s">
        <v>36</v>
      </c>
      <c r="C348" t="s">
        <v>37</v>
      </c>
      <c r="D348" t="s">
        <v>38</v>
      </c>
      <c r="E348" t="s">
        <v>39</v>
      </c>
      <c r="F348">
        <v>3</v>
      </c>
      <c r="G348" t="s">
        <v>223</v>
      </c>
      <c r="H348" s="2">
        <v>28</v>
      </c>
      <c r="I348" t="s">
        <v>27</v>
      </c>
      <c r="J348">
        <v>100</v>
      </c>
      <c r="K348" t="s">
        <v>223</v>
      </c>
      <c r="L348">
        <v>28</v>
      </c>
      <c r="M348" t="s">
        <v>28</v>
      </c>
      <c r="N348" t="s">
        <v>29</v>
      </c>
      <c r="O348" t="s">
        <v>242</v>
      </c>
      <c r="P348" t="s">
        <v>41</v>
      </c>
      <c r="Q348">
        <v>555.53</v>
      </c>
      <c r="R348">
        <v>31.44</v>
      </c>
      <c r="S348">
        <v>386.23</v>
      </c>
      <c r="T348">
        <v>12.36</v>
      </c>
      <c r="U348">
        <v>104.8</v>
      </c>
    </row>
    <row r="349" spans="1:21" x14ac:dyDescent="0.25">
      <c r="A349" t="s">
        <v>241</v>
      </c>
      <c r="B349" t="s">
        <v>36</v>
      </c>
      <c r="C349" t="s">
        <v>37</v>
      </c>
      <c r="D349" t="s">
        <v>38</v>
      </c>
      <c r="E349" t="s">
        <v>39</v>
      </c>
      <c r="F349">
        <v>4</v>
      </c>
      <c r="G349" t="s">
        <v>223</v>
      </c>
      <c r="H349" s="2">
        <v>28</v>
      </c>
      <c r="I349" t="s">
        <v>27</v>
      </c>
      <c r="J349">
        <v>100</v>
      </c>
      <c r="K349" t="s">
        <v>223</v>
      </c>
      <c r="L349">
        <v>28</v>
      </c>
      <c r="M349" t="s">
        <v>28</v>
      </c>
      <c r="N349" t="s">
        <v>29</v>
      </c>
      <c r="O349" t="s">
        <v>242</v>
      </c>
      <c r="P349" t="s">
        <v>31</v>
      </c>
      <c r="Q349">
        <v>562.83000000000004</v>
      </c>
      <c r="R349">
        <v>31.86</v>
      </c>
      <c r="S349">
        <v>391.3</v>
      </c>
      <c r="T349">
        <v>12.46</v>
      </c>
      <c r="U349">
        <v>106.2</v>
      </c>
    </row>
    <row r="350" spans="1:21" x14ac:dyDescent="0.25">
      <c r="A350" t="s">
        <v>243</v>
      </c>
      <c r="B350" t="s">
        <v>36</v>
      </c>
      <c r="C350" t="s">
        <v>37</v>
      </c>
      <c r="D350" t="s">
        <v>38</v>
      </c>
      <c r="E350" t="s">
        <v>39</v>
      </c>
      <c r="F350">
        <v>3</v>
      </c>
      <c r="G350" t="s">
        <v>223</v>
      </c>
      <c r="H350" s="2">
        <v>28</v>
      </c>
      <c r="I350" t="s">
        <v>27</v>
      </c>
      <c r="J350">
        <v>100</v>
      </c>
      <c r="K350" t="s">
        <v>223</v>
      </c>
      <c r="L350">
        <v>28</v>
      </c>
      <c r="M350" t="s">
        <v>28</v>
      </c>
      <c r="N350" t="s">
        <v>29</v>
      </c>
      <c r="O350" t="s">
        <v>242</v>
      </c>
      <c r="P350" t="s">
        <v>33</v>
      </c>
      <c r="Q350">
        <v>627.58000000000004</v>
      </c>
      <c r="R350">
        <v>35.520000000000003</v>
      </c>
      <c r="S350">
        <v>436.32</v>
      </c>
      <c r="T350">
        <v>12.34</v>
      </c>
      <c r="U350">
        <v>118.4</v>
      </c>
    </row>
    <row r="351" spans="1:21" x14ac:dyDescent="0.25">
      <c r="A351" t="s">
        <v>243</v>
      </c>
      <c r="B351" t="s">
        <v>36</v>
      </c>
      <c r="C351" t="s">
        <v>37</v>
      </c>
      <c r="D351" t="s">
        <v>38</v>
      </c>
      <c r="E351" t="s">
        <v>39</v>
      </c>
      <c r="F351">
        <v>4</v>
      </c>
      <c r="G351" t="s">
        <v>223</v>
      </c>
      <c r="H351" s="2">
        <v>28</v>
      </c>
      <c r="I351" t="s">
        <v>27</v>
      </c>
      <c r="J351">
        <v>100</v>
      </c>
      <c r="K351" t="s">
        <v>223</v>
      </c>
      <c r="L351">
        <v>28</v>
      </c>
      <c r="M351" t="s">
        <v>28</v>
      </c>
      <c r="N351" t="s">
        <v>29</v>
      </c>
      <c r="O351" t="s">
        <v>242</v>
      </c>
      <c r="P351" t="s">
        <v>43</v>
      </c>
      <c r="Q351">
        <v>610.9</v>
      </c>
      <c r="R351">
        <v>34.58</v>
      </c>
      <c r="S351">
        <v>424.72</v>
      </c>
      <c r="T351">
        <v>12.34</v>
      </c>
      <c r="U351">
        <v>115.27</v>
      </c>
    </row>
    <row r="352" spans="1:21" x14ac:dyDescent="0.25">
      <c r="A352" t="s">
        <v>253</v>
      </c>
      <c r="B352" t="s">
        <v>36</v>
      </c>
      <c r="C352" t="s">
        <v>37</v>
      </c>
      <c r="D352" t="s">
        <v>38</v>
      </c>
      <c r="E352" t="s">
        <v>39</v>
      </c>
      <c r="F352">
        <v>3</v>
      </c>
      <c r="G352" t="s">
        <v>230</v>
      </c>
      <c r="H352" s="2">
        <v>28</v>
      </c>
      <c r="I352" t="s">
        <v>27</v>
      </c>
      <c r="J352">
        <v>100</v>
      </c>
      <c r="K352" t="s">
        <v>230</v>
      </c>
      <c r="L352">
        <v>28</v>
      </c>
      <c r="M352" t="s">
        <v>28</v>
      </c>
      <c r="N352" t="s">
        <v>29</v>
      </c>
      <c r="O352" t="s">
        <v>254</v>
      </c>
      <c r="P352" t="s">
        <v>41</v>
      </c>
      <c r="Q352">
        <v>653.78</v>
      </c>
      <c r="R352">
        <v>37</v>
      </c>
      <c r="S352">
        <v>454.54</v>
      </c>
      <c r="T352">
        <v>12.14</v>
      </c>
      <c r="U352">
        <v>123.33</v>
      </c>
    </row>
    <row r="353" spans="1:21" x14ac:dyDescent="0.25">
      <c r="A353" t="s">
        <v>253</v>
      </c>
      <c r="B353" t="s">
        <v>36</v>
      </c>
      <c r="C353" t="s">
        <v>37</v>
      </c>
      <c r="D353" t="s">
        <v>38</v>
      </c>
      <c r="E353" t="s">
        <v>39</v>
      </c>
      <c r="F353">
        <v>4</v>
      </c>
      <c r="G353" t="s">
        <v>230</v>
      </c>
      <c r="H353" s="2">
        <v>28</v>
      </c>
      <c r="I353" t="s">
        <v>27</v>
      </c>
      <c r="J353">
        <v>100</v>
      </c>
      <c r="K353" t="s">
        <v>230</v>
      </c>
      <c r="L353">
        <v>28</v>
      </c>
      <c r="M353" t="s">
        <v>28</v>
      </c>
      <c r="N353" t="s">
        <v>29</v>
      </c>
      <c r="O353" t="s">
        <v>254</v>
      </c>
      <c r="P353" t="s">
        <v>43</v>
      </c>
      <c r="Q353">
        <v>646.89</v>
      </c>
      <c r="R353">
        <v>36.61</v>
      </c>
      <c r="S353">
        <v>449.75</v>
      </c>
      <c r="T353">
        <v>12.27</v>
      </c>
      <c r="U353">
        <v>122.03</v>
      </c>
    </row>
    <row r="354" spans="1:21" x14ac:dyDescent="0.25">
      <c r="A354" t="s">
        <v>255</v>
      </c>
      <c r="B354" t="s">
        <v>36</v>
      </c>
      <c r="C354" t="s">
        <v>37</v>
      </c>
      <c r="D354" t="s">
        <v>38</v>
      </c>
      <c r="E354" t="s">
        <v>39</v>
      </c>
      <c r="F354">
        <v>3</v>
      </c>
      <c r="G354" t="s">
        <v>230</v>
      </c>
      <c r="H354" s="2">
        <v>28</v>
      </c>
      <c r="I354" t="s">
        <v>27</v>
      </c>
      <c r="J354">
        <v>100</v>
      </c>
      <c r="K354" t="s">
        <v>230</v>
      </c>
      <c r="L354">
        <v>28</v>
      </c>
      <c r="M354" t="s">
        <v>28</v>
      </c>
      <c r="N354" t="s">
        <v>29</v>
      </c>
      <c r="O354" t="s">
        <v>254</v>
      </c>
      <c r="P354" t="s">
        <v>31</v>
      </c>
      <c r="Q354">
        <v>575.72</v>
      </c>
      <c r="R354">
        <v>32.590000000000003</v>
      </c>
      <c r="S354">
        <v>400.27</v>
      </c>
      <c r="T354">
        <v>12.28</v>
      </c>
      <c r="U354">
        <v>108.63</v>
      </c>
    </row>
    <row r="355" spans="1:21" x14ac:dyDescent="0.25">
      <c r="A355" t="s">
        <v>255</v>
      </c>
      <c r="B355" t="s">
        <v>36</v>
      </c>
      <c r="C355" t="s">
        <v>37</v>
      </c>
      <c r="D355" t="s">
        <v>38</v>
      </c>
      <c r="E355" t="s">
        <v>39</v>
      </c>
      <c r="F355">
        <v>4</v>
      </c>
      <c r="G355" t="s">
        <v>230</v>
      </c>
      <c r="H355" s="2">
        <v>28</v>
      </c>
      <c r="I355" t="s">
        <v>27</v>
      </c>
      <c r="J355">
        <v>100</v>
      </c>
      <c r="K355" t="s">
        <v>230</v>
      </c>
      <c r="L355">
        <v>28</v>
      </c>
      <c r="M355" t="s">
        <v>28</v>
      </c>
      <c r="N355" t="s">
        <v>29</v>
      </c>
      <c r="O355" t="s">
        <v>254</v>
      </c>
      <c r="P355" t="s">
        <v>31</v>
      </c>
      <c r="Q355">
        <v>588.54</v>
      </c>
      <c r="R355">
        <v>33.31</v>
      </c>
      <c r="S355">
        <v>409.18</v>
      </c>
      <c r="T355">
        <v>12.34</v>
      </c>
      <c r="U355">
        <v>111.03</v>
      </c>
    </row>
    <row r="356" spans="1:21" x14ac:dyDescent="0.25">
      <c r="A356" t="s">
        <v>299</v>
      </c>
      <c r="B356" t="s">
        <v>36</v>
      </c>
      <c r="C356" t="s">
        <v>37</v>
      </c>
      <c r="D356" t="s">
        <v>38</v>
      </c>
      <c r="E356" t="s">
        <v>39</v>
      </c>
      <c r="F356">
        <v>3</v>
      </c>
      <c r="G356" t="s">
        <v>292</v>
      </c>
      <c r="H356" s="2">
        <v>28</v>
      </c>
      <c r="I356" t="s">
        <v>27</v>
      </c>
      <c r="J356">
        <v>100</v>
      </c>
      <c r="K356" t="s">
        <v>292</v>
      </c>
      <c r="L356">
        <v>28</v>
      </c>
      <c r="M356" t="s">
        <v>28</v>
      </c>
      <c r="N356" t="s">
        <v>29</v>
      </c>
      <c r="O356" t="s">
        <v>300</v>
      </c>
      <c r="P356" t="s">
        <v>31</v>
      </c>
      <c r="Q356">
        <v>599.94000000000005</v>
      </c>
      <c r="R356">
        <v>33.96</v>
      </c>
      <c r="S356">
        <v>417.1</v>
      </c>
      <c r="T356">
        <v>12.36</v>
      </c>
      <c r="U356">
        <v>113.2</v>
      </c>
    </row>
    <row r="357" spans="1:21" x14ac:dyDescent="0.25">
      <c r="A357" t="s">
        <v>299</v>
      </c>
      <c r="B357" t="s">
        <v>36</v>
      </c>
      <c r="C357" t="s">
        <v>37</v>
      </c>
      <c r="D357" t="s">
        <v>38</v>
      </c>
      <c r="E357" t="s">
        <v>39</v>
      </c>
      <c r="F357">
        <v>4</v>
      </c>
      <c r="G357" t="s">
        <v>292</v>
      </c>
      <c r="H357" s="2">
        <v>28</v>
      </c>
      <c r="I357" t="s">
        <v>27</v>
      </c>
      <c r="J357">
        <v>100</v>
      </c>
      <c r="K357" t="s">
        <v>292</v>
      </c>
      <c r="L357">
        <v>28</v>
      </c>
      <c r="M357" t="s">
        <v>28</v>
      </c>
      <c r="N357" t="s">
        <v>29</v>
      </c>
      <c r="O357" t="s">
        <v>300</v>
      </c>
      <c r="P357" t="s">
        <v>34</v>
      </c>
      <c r="Q357">
        <v>608.45000000000005</v>
      </c>
      <c r="R357">
        <v>34.44</v>
      </c>
      <c r="S357">
        <v>423.02</v>
      </c>
      <c r="T357">
        <v>12.14</v>
      </c>
      <c r="U357">
        <v>114.8</v>
      </c>
    </row>
    <row r="358" spans="1:21" x14ac:dyDescent="0.25">
      <c r="A358" t="s">
        <v>301</v>
      </c>
      <c r="B358" t="s">
        <v>36</v>
      </c>
      <c r="C358" t="s">
        <v>37</v>
      </c>
      <c r="D358" t="s">
        <v>38</v>
      </c>
      <c r="E358" t="s">
        <v>39</v>
      </c>
      <c r="F358">
        <v>3</v>
      </c>
      <c r="G358" t="s">
        <v>292</v>
      </c>
      <c r="H358" s="2">
        <v>28</v>
      </c>
      <c r="I358" t="s">
        <v>27</v>
      </c>
      <c r="J358">
        <v>100</v>
      </c>
      <c r="K358" t="s">
        <v>292</v>
      </c>
      <c r="L358">
        <v>28</v>
      </c>
      <c r="M358" t="s">
        <v>28</v>
      </c>
      <c r="N358" t="s">
        <v>29</v>
      </c>
      <c r="O358" t="s">
        <v>300</v>
      </c>
      <c r="P358" t="s">
        <v>34</v>
      </c>
      <c r="Q358">
        <v>570.37</v>
      </c>
      <c r="R358">
        <v>32.28</v>
      </c>
      <c r="S358">
        <v>396.55</v>
      </c>
      <c r="T358">
        <v>12.36</v>
      </c>
      <c r="U358">
        <v>107.6</v>
      </c>
    </row>
    <row r="359" spans="1:21" x14ac:dyDescent="0.25">
      <c r="A359" t="s">
        <v>301</v>
      </c>
      <c r="B359" t="s">
        <v>36</v>
      </c>
      <c r="C359" t="s">
        <v>37</v>
      </c>
      <c r="D359" t="s">
        <v>38</v>
      </c>
      <c r="E359" t="s">
        <v>39</v>
      </c>
      <c r="F359">
        <v>4</v>
      </c>
      <c r="G359" t="s">
        <v>292</v>
      </c>
      <c r="H359" s="2">
        <v>28</v>
      </c>
      <c r="I359" t="s">
        <v>27</v>
      </c>
      <c r="J359">
        <v>100</v>
      </c>
      <c r="K359" t="s">
        <v>292</v>
      </c>
      <c r="L359">
        <v>28</v>
      </c>
      <c r="M359" t="s">
        <v>28</v>
      </c>
      <c r="N359" t="s">
        <v>29</v>
      </c>
      <c r="O359" t="s">
        <v>300</v>
      </c>
      <c r="P359" t="s">
        <v>34</v>
      </c>
      <c r="Q359">
        <v>563.79999999999995</v>
      </c>
      <c r="R359">
        <v>31.91</v>
      </c>
      <c r="S359">
        <v>391.98</v>
      </c>
      <c r="T359">
        <v>12.3</v>
      </c>
      <c r="U359">
        <v>106.37</v>
      </c>
    </row>
    <row r="360" spans="1:21" x14ac:dyDescent="0.25">
      <c r="A360" t="s">
        <v>99</v>
      </c>
      <c r="B360" t="s">
        <v>100</v>
      </c>
      <c r="C360" t="s">
        <v>101</v>
      </c>
      <c r="D360" t="s">
        <v>102</v>
      </c>
      <c r="E360" t="s">
        <v>103</v>
      </c>
      <c r="F360">
        <v>3</v>
      </c>
      <c r="G360" t="s">
        <v>90</v>
      </c>
      <c r="H360" s="2">
        <v>28</v>
      </c>
      <c r="I360" t="s">
        <v>27</v>
      </c>
      <c r="J360">
        <v>100</v>
      </c>
      <c r="K360" t="s">
        <v>90</v>
      </c>
      <c r="L360">
        <v>28</v>
      </c>
      <c r="M360" t="s">
        <v>28</v>
      </c>
      <c r="N360" t="s">
        <v>29</v>
      </c>
      <c r="O360" t="s">
        <v>104</v>
      </c>
      <c r="P360" t="s">
        <v>31</v>
      </c>
      <c r="Q360">
        <v>611.58000000000004</v>
      </c>
      <c r="R360">
        <v>34.619999999999997</v>
      </c>
      <c r="S360">
        <v>425.2</v>
      </c>
      <c r="T360">
        <v>12.42</v>
      </c>
      <c r="U360">
        <v>106.3</v>
      </c>
    </row>
    <row r="361" spans="1:21" x14ac:dyDescent="0.25">
      <c r="A361" t="s">
        <v>99</v>
      </c>
      <c r="B361" t="s">
        <v>100</v>
      </c>
      <c r="C361" t="s">
        <v>101</v>
      </c>
      <c r="D361" t="s">
        <v>102</v>
      </c>
      <c r="E361" t="s">
        <v>103</v>
      </c>
      <c r="F361">
        <v>4</v>
      </c>
      <c r="G361" t="s">
        <v>90</v>
      </c>
      <c r="H361" s="2">
        <v>28</v>
      </c>
      <c r="I361" t="s">
        <v>27</v>
      </c>
      <c r="J361">
        <v>100</v>
      </c>
      <c r="K361" t="s">
        <v>90</v>
      </c>
      <c r="L361">
        <v>28</v>
      </c>
      <c r="M361" t="s">
        <v>28</v>
      </c>
      <c r="N361" t="s">
        <v>29</v>
      </c>
      <c r="O361" t="s">
        <v>104</v>
      </c>
      <c r="P361" t="s">
        <v>41</v>
      </c>
      <c r="Q361">
        <v>620.42999999999995</v>
      </c>
      <c r="R361">
        <v>35.119999999999997</v>
      </c>
      <c r="S361">
        <v>431.35</v>
      </c>
      <c r="T361">
        <v>12.13</v>
      </c>
      <c r="U361">
        <v>107.84</v>
      </c>
    </row>
    <row r="362" spans="1:21" x14ac:dyDescent="0.25">
      <c r="A362" t="s">
        <v>105</v>
      </c>
      <c r="B362" t="s">
        <v>100</v>
      </c>
      <c r="C362" t="s">
        <v>101</v>
      </c>
      <c r="D362" t="s">
        <v>102</v>
      </c>
      <c r="E362" t="s">
        <v>103</v>
      </c>
      <c r="F362">
        <v>3</v>
      </c>
      <c r="G362" t="s">
        <v>90</v>
      </c>
      <c r="H362" s="2">
        <v>28</v>
      </c>
      <c r="I362" t="s">
        <v>27</v>
      </c>
      <c r="J362">
        <v>100</v>
      </c>
      <c r="K362" t="s">
        <v>90</v>
      </c>
      <c r="L362">
        <v>28</v>
      </c>
      <c r="M362" t="s">
        <v>106</v>
      </c>
      <c r="N362" t="s">
        <v>29</v>
      </c>
      <c r="O362" t="s">
        <v>104</v>
      </c>
      <c r="P362" t="s">
        <v>33</v>
      </c>
      <c r="Q362">
        <v>540.87</v>
      </c>
      <c r="R362">
        <v>30.61</v>
      </c>
      <c r="S362">
        <v>376.04</v>
      </c>
      <c r="T362">
        <v>12.2</v>
      </c>
      <c r="U362">
        <v>94.01</v>
      </c>
    </row>
    <row r="363" spans="1:21" x14ac:dyDescent="0.25">
      <c r="A363" t="s">
        <v>105</v>
      </c>
      <c r="B363" t="s">
        <v>100</v>
      </c>
      <c r="C363" t="s">
        <v>101</v>
      </c>
      <c r="D363" t="s">
        <v>102</v>
      </c>
      <c r="E363" t="s">
        <v>103</v>
      </c>
      <c r="F363">
        <v>4</v>
      </c>
      <c r="G363" t="s">
        <v>90</v>
      </c>
      <c r="H363" s="2">
        <v>28</v>
      </c>
      <c r="I363" t="s">
        <v>27</v>
      </c>
      <c r="J363">
        <v>100</v>
      </c>
      <c r="K363" t="s">
        <v>90</v>
      </c>
      <c r="L363">
        <v>28</v>
      </c>
      <c r="M363" t="s">
        <v>28</v>
      </c>
      <c r="N363" t="s">
        <v>29</v>
      </c>
      <c r="O363" t="s">
        <v>104</v>
      </c>
      <c r="P363" t="s">
        <v>34</v>
      </c>
      <c r="Q363">
        <v>588.74</v>
      </c>
      <c r="R363">
        <v>33.32</v>
      </c>
      <c r="S363">
        <v>409.32</v>
      </c>
      <c r="T363">
        <v>12.45</v>
      </c>
      <c r="U363">
        <v>102.33</v>
      </c>
    </row>
    <row r="364" spans="1:21" x14ac:dyDescent="0.25">
      <c r="A364" t="s">
        <v>116</v>
      </c>
      <c r="B364" t="s">
        <v>100</v>
      </c>
      <c r="C364" t="s">
        <v>101</v>
      </c>
      <c r="D364" t="s">
        <v>102</v>
      </c>
      <c r="E364" t="s">
        <v>103</v>
      </c>
      <c r="F364">
        <v>3</v>
      </c>
      <c r="G364" t="s">
        <v>90</v>
      </c>
      <c r="H364" s="2">
        <v>28</v>
      </c>
      <c r="I364" t="s">
        <v>27</v>
      </c>
      <c r="J364">
        <v>100</v>
      </c>
      <c r="K364" t="s">
        <v>90</v>
      </c>
      <c r="L364">
        <v>28</v>
      </c>
      <c r="M364" t="s">
        <v>28</v>
      </c>
      <c r="N364" t="s">
        <v>29</v>
      </c>
      <c r="O364" t="s">
        <v>104</v>
      </c>
      <c r="P364" t="s">
        <v>43</v>
      </c>
      <c r="Q364">
        <v>630.29999999999995</v>
      </c>
      <c r="R364">
        <v>35.68</v>
      </c>
      <c r="S364">
        <v>438.21</v>
      </c>
      <c r="T364">
        <v>12.27</v>
      </c>
      <c r="U364">
        <v>109.55</v>
      </c>
    </row>
    <row r="365" spans="1:21" x14ac:dyDescent="0.25">
      <c r="A365" t="s">
        <v>116</v>
      </c>
      <c r="B365" t="s">
        <v>100</v>
      </c>
      <c r="C365" t="s">
        <v>101</v>
      </c>
      <c r="D365" t="s">
        <v>102</v>
      </c>
      <c r="E365" t="s">
        <v>103</v>
      </c>
      <c r="F365">
        <v>4</v>
      </c>
      <c r="G365" t="s">
        <v>90</v>
      </c>
      <c r="H365" s="2">
        <v>28</v>
      </c>
      <c r="I365" t="s">
        <v>27</v>
      </c>
      <c r="J365">
        <v>100</v>
      </c>
      <c r="K365" t="s">
        <v>90</v>
      </c>
      <c r="L365">
        <v>28</v>
      </c>
      <c r="M365" t="s">
        <v>28</v>
      </c>
      <c r="N365" t="s">
        <v>29</v>
      </c>
      <c r="O365" t="s">
        <v>104</v>
      </c>
      <c r="P365" t="s">
        <v>43</v>
      </c>
      <c r="Q365">
        <v>640.11</v>
      </c>
      <c r="R365">
        <v>36.229999999999997</v>
      </c>
      <c r="S365">
        <v>445.03</v>
      </c>
      <c r="T365">
        <v>12.4</v>
      </c>
      <c r="U365">
        <v>111.26</v>
      </c>
    </row>
    <row r="366" spans="1:21" x14ac:dyDescent="0.25">
      <c r="A366" t="s">
        <v>117</v>
      </c>
      <c r="B366" t="s">
        <v>100</v>
      </c>
      <c r="C366" t="s">
        <v>101</v>
      </c>
      <c r="D366" t="s">
        <v>102</v>
      </c>
      <c r="E366" t="s">
        <v>103</v>
      </c>
      <c r="F366">
        <v>3</v>
      </c>
      <c r="G366" t="s">
        <v>108</v>
      </c>
      <c r="H366" s="2">
        <v>28</v>
      </c>
      <c r="I366" t="s">
        <v>27</v>
      </c>
      <c r="J366">
        <v>100</v>
      </c>
      <c r="K366" t="s">
        <v>108</v>
      </c>
      <c r="L366">
        <v>28</v>
      </c>
      <c r="M366" t="s">
        <v>28</v>
      </c>
      <c r="N366" t="s">
        <v>29</v>
      </c>
      <c r="O366" t="s">
        <v>104</v>
      </c>
      <c r="P366" t="s">
        <v>33</v>
      </c>
      <c r="Q366">
        <v>600.75</v>
      </c>
      <c r="R366">
        <v>34</v>
      </c>
      <c r="S366">
        <v>417.67</v>
      </c>
      <c r="T366">
        <v>12.11</v>
      </c>
      <c r="U366">
        <v>104.42</v>
      </c>
    </row>
    <row r="367" spans="1:21" x14ac:dyDescent="0.25">
      <c r="A367" t="s">
        <v>117</v>
      </c>
      <c r="B367" t="s">
        <v>100</v>
      </c>
      <c r="C367" t="s">
        <v>101</v>
      </c>
      <c r="D367" t="s">
        <v>102</v>
      </c>
      <c r="E367" t="s">
        <v>103</v>
      </c>
      <c r="F367">
        <v>4</v>
      </c>
      <c r="G367" t="s">
        <v>108</v>
      </c>
      <c r="H367" s="2">
        <v>28</v>
      </c>
      <c r="I367" t="s">
        <v>27</v>
      </c>
      <c r="J367">
        <v>100</v>
      </c>
      <c r="K367" t="s">
        <v>108</v>
      </c>
      <c r="L367">
        <v>28</v>
      </c>
      <c r="M367" t="s">
        <v>106</v>
      </c>
      <c r="N367" t="s">
        <v>29</v>
      </c>
      <c r="O367" t="s">
        <v>104</v>
      </c>
      <c r="P367" t="s">
        <v>43</v>
      </c>
      <c r="Q367">
        <v>561.28</v>
      </c>
      <c r="R367">
        <v>31.77</v>
      </c>
      <c r="S367">
        <v>390.23</v>
      </c>
      <c r="T367">
        <v>12.22</v>
      </c>
      <c r="U367">
        <v>97.56</v>
      </c>
    </row>
    <row r="368" spans="1:21" x14ac:dyDescent="0.25">
      <c r="A368" t="s">
        <v>127</v>
      </c>
      <c r="B368" t="s">
        <v>100</v>
      </c>
      <c r="C368" t="s">
        <v>101</v>
      </c>
      <c r="D368" t="s">
        <v>102</v>
      </c>
      <c r="E368" t="s">
        <v>103</v>
      </c>
      <c r="F368">
        <v>3</v>
      </c>
      <c r="G368" t="s">
        <v>108</v>
      </c>
      <c r="H368" s="2">
        <v>28</v>
      </c>
      <c r="I368" t="s">
        <v>27</v>
      </c>
      <c r="J368">
        <v>100</v>
      </c>
      <c r="K368" t="s">
        <v>108</v>
      </c>
      <c r="L368">
        <v>28</v>
      </c>
      <c r="M368" t="s">
        <v>106</v>
      </c>
      <c r="N368" t="s">
        <v>29</v>
      </c>
      <c r="O368" t="s">
        <v>104</v>
      </c>
      <c r="P368" t="s">
        <v>34</v>
      </c>
      <c r="Q368">
        <v>558.85</v>
      </c>
      <c r="R368">
        <v>31.63</v>
      </c>
      <c r="S368">
        <v>388.54</v>
      </c>
      <c r="T368">
        <v>12.24</v>
      </c>
      <c r="U368">
        <v>97.14</v>
      </c>
    </row>
    <row r="369" spans="1:21" x14ac:dyDescent="0.25">
      <c r="A369" t="s">
        <v>127</v>
      </c>
      <c r="B369" t="s">
        <v>100</v>
      </c>
      <c r="C369" t="s">
        <v>101</v>
      </c>
      <c r="D369" t="s">
        <v>102</v>
      </c>
      <c r="E369" t="s">
        <v>103</v>
      </c>
      <c r="F369">
        <v>4</v>
      </c>
      <c r="G369" t="s">
        <v>108</v>
      </c>
      <c r="H369" s="2">
        <v>28</v>
      </c>
      <c r="I369" t="s">
        <v>27</v>
      </c>
      <c r="J369">
        <v>100</v>
      </c>
      <c r="K369" t="s">
        <v>108</v>
      </c>
      <c r="L369">
        <v>28</v>
      </c>
      <c r="M369" t="s">
        <v>28</v>
      </c>
      <c r="N369" t="s">
        <v>29</v>
      </c>
      <c r="O369" t="s">
        <v>104</v>
      </c>
      <c r="P369" t="s">
        <v>33</v>
      </c>
      <c r="Q369">
        <v>610.03</v>
      </c>
      <c r="R369">
        <v>34.53</v>
      </c>
      <c r="S369">
        <v>424.12</v>
      </c>
      <c r="T369">
        <v>12.18</v>
      </c>
      <c r="U369">
        <v>106.03</v>
      </c>
    </row>
    <row r="370" spans="1:21" x14ac:dyDescent="0.25">
      <c r="A370" t="s">
        <v>128</v>
      </c>
      <c r="B370" t="s">
        <v>100</v>
      </c>
      <c r="C370" t="s">
        <v>101</v>
      </c>
      <c r="D370" t="s">
        <v>102</v>
      </c>
      <c r="E370" t="s">
        <v>103</v>
      </c>
      <c r="F370">
        <v>3</v>
      </c>
      <c r="G370" t="s">
        <v>108</v>
      </c>
      <c r="H370" s="2">
        <v>28</v>
      </c>
      <c r="I370" t="s">
        <v>27</v>
      </c>
      <c r="J370">
        <v>100</v>
      </c>
      <c r="K370" t="s">
        <v>108</v>
      </c>
      <c r="L370">
        <v>28</v>
      </c>
      <c r="M370" t="s">
        <v>28</v>
      </c>
      <c r="N370" t="s">
        <v>29</v>
      </c>
      <c r="O370" t="s">
        <v>104</v>
      </c>
      <c r="P370" t="s">
        <v>31</v>
      </c>
      <c r="Q370">
        <v>680.5</v>
      </c>
      <c r="R370">
        <v>38.520000000000003</v>
      </c>
      <c r="S370">
        <v>473.11</v>
      </c>
      <c r="T370">
        <v>12.29</v>
      </c>
      <c r="U370">
        <v>118.28</v>
      </c>
    </row>
    <row r="371" spans="1:21" x14ac:dyDescent="0.25">
      <c r="A371" t="s">
        <v>128</v>
      </c>
      <c r="B371" t="s">
        <v>100</v>
      </c>
      <c r="C371" t="s">
        <v>101</v>
      </c>
      <c r="D371" t="s">
        <v>102</v>
      </c>
      <c r="E371" t="s">
        <v>103</v>
      </c>
      <c r="F371">
        <v>4</v>
      </c>
      <c r="G371" t="s">
        <v>108</v>
      </c>
      <c r="H371" s="2">
        <v>28</v>
      </c>
      <c r="I371" t="s">
        <v>27</v>
      </c>
      <c r="J371">
        <v>100</v>
      </c>
      <c r="K371" t="s">
        <v>108</v>
      </c>
      <c r="L371">
        <v>28</v>
      </c>
      <c r="M371" t="s">
        <v>28</v>
      </c>
      <c r="N371" t="s">
        <v>29</v>
      </c>
      <c r="O371" t="s">
        <v>104</v>
      </c>
      <c r="P371" t="s">
        <v>31</v>
      </c>
      <c r="Q371">
        <v>669.3</v>
      </c>
      <c r="R371">
        <v>37.880000000000003</v>
      </c>
      <c r="S371">
        <v>465.33</v>
      </c>
      <c r="T371">
        <v>12.4</v>
      </c>
      <c r="U371">
        <v>116.33</v>
      </c>
    </row>
    <row r="372" spans="1:21" x14ac:dyDescent="0.25">
      <c r="A372" t="s">
        <v>160</v>
      </c>
      <c r="B372" t="s">
        <v>100</v>
      </c>
      <c r="C372" t="s">
        <v>101</v>
      </c>
      <c r="D372" t="s">
        <v>102</v>
      </c>
      <c r="E372" t="s">
        <v>103</v>
      </c>
      <c r="F372">
        <v>3</v>
      </c>
      <c r="G372" t="s">
        <v>145</v>
      </c>
      <c r="H372" s="2">
        <v>28</v>
      </c>
      <c r="I372" t="s">
        <v>27</v>
      </c>
      <c r="J372">
        <v>100</v>
      </c>
      <c r="K372" t="s">
        <v>145</v>
      </c>
      <c r="L372">
        <v>28</v>
      </c>
      <c r="M372" t="s">
        <v>28</v>
      </c>
      <c r="N372" t="s">
        <v>29</v>
      </c>
      <c r="O372" t="s">
        <v>104</v>
      </c>
      <c r="P372" t="s">
        <v>41</v>
      </c>
      <c r="Q372">
        <v>653.91999999999996</v>
      </c>
      <c r="R372">
        <v>37.01</v>
      </c>
      <c r="S372">
        <v>454.63</v>
      </c>
      <c r="T372">
        <v>12.14</v>
      </c>
      <c r="U372">
        <v>113.66</v>
      </c>
    </row>
    <row r="373" spans="1:21" x14ac:dyDescent="0.25">
      <c r="A373" t="s">
        <v>160</v>
      </c>
      <c r="B373" t="s">
        <v>100</v>
      </c>
      <c r="C373" t="s">
        <v>101</v>
      </c>
      <c r="D373" t="s">
        <v>102</v>
      </c>
      <c r="E373" t="s">
        <v>103</v>
      </c>
      <c r="F373">
        <v>4</v>
      </c>
      <c r="G373" t="s">
        <v>145</v>
      </c>
      <c r="H373" s="2">
        <v>28</v>
      </c>
      <c r="I373" t="s">
        <v>27</v>
      </c>
      <c r="J373">
        <v>100</v>
      </c>
      <c r="K373" t="s">
        <v>145</v>
      </c>
      <c r="L373">
        <v>28</v>
      </c>
      <c r="M373" t="s">
        <v>28</v>
      </c>
      <c r="N373" t="s">
        <v>29</v>
      </c>
      <c r="O373" t="s">
        <v>104</v>
      </c>
      <c r="P373" t="s">
        <v>34</v>
      </c>
      <c r="Q373">
        <v>637.04999999999995</v>
      </c>
      <c r="R373">
        <v>36.06</v>
      </c>
      <c r="S373">
        <v>442.91</v>
      </c>
      <c r="T373">
        <v>12.45</v>
      </c>
      <c r="U373">
        <v>110.73</v>
      </c>
    </row>
    <row r="374" spans="1:21" x14ac:dyDescent="0.25">
      <c r="A374" t="s">
        <v>220</v>
      </c>
      <c r="B374" t="s">
        <v>100</v>
      </c>
      <c r="C374" t="s">
        <v>101</v>
      </c>
      <c r="D374" t="s">
        <v>102</v>
      </c>
      <c r="E374" t="s">
        <v>103</v>
      </c>
      <c r="F374">
        <v>3</v>
      </c>
      <c r="G374" t="s">
        <v>214</v>
      </c>
      <c r="H374" s="2">
        <v>28</v>
      </c>
      <c r="I374" t="s">
        <v>27</v>
      </c>
      <c r="J374">
        <v>100</v>
      </c>
      <c r="K374" t="s">
        <v>214</v>
      </c>
      <c r="L374">
        <v>28</v>
      </c>
      <c r="M374" t="s">
        <v>28</v>
      </c>
      <c r="N374" t="s">
        <v>29</v>
      </c>
      <c r="O374" t="s">
        <v>104</v>
      </c>
      <c r="P374" t="s">
        <v>34</v>
      </c>
      <c r="Q374">
        <v>575.69000000000005</v>
      </c>
      <c r="R374">
        <v>32.58</v>
      </c>
      <c r="S374">
        <v>400.25</v>
      </c>
      <c r="T374">
        <v>12.41</v>
      </c>
      <c r="U374">
        <v>100.06</v>
      </c>
    </row>
    <row r="375" spans="1:21" x14ac:dyDescent="0.25">
      <c r="A375" t="s">
        <v>220</v>
      </c>
      <c r="B375" t="s">
        <v>100</v>
      </c>
      <c r="C375" t="s">
        <v>101</v>
      </c>
      <c r="D375" t="s">
        <v>102</v>
      </c>
      <c r="E375" t="s">
        <v>103</v>
      </c>
      <c r="F375">
        <v>4</v>
      </c>
      <c r="G375" t="s">
        <v>214</v>
      </c>
      <c r="H375" s="2">
        <v>28</v>
      </c>
      <c r="I375" t="s">
        <v>27</v>
      </c>
      <c r="J375">
        <v>100</v>
      </c>
      <c r="K375" t="s">
        <v>214</v>
      </c>
      <c r="L375">
        <v>28</v>
      </c>
      <c r="M375" t="s">
        <v>28</v>
      </c>
      <c r="N375" t="s">
        <v>29</v>
      </c>
      <c r="O375" t="s">
        <v>104</v>
      </c>
      <c r="P375" t="s">
        <v>33</v>
      </c>
      <c r="Q375">
        <v>587.75</v>
      </c>
      <c r="R375">
        <v>33.270000000000003</v>
      </c>
      <c r="S375">
        <v>408.63</v>
      </c>
      <c r="T375">
        <v>12.28</v>
      </c>
      <c r="U375">
        <v>102.16</v>
      </c>
    </row>
    <row r="376" spans="1:21" x14ac:dyDescent="0.25">
      <c r="A376" t="s">
        <v>221</v>
      </c>
      <c r="B376" t="s">
        <v>100</v>
      </c>
      <c r="C376" t="s">
        <v>101</v>
      </c>
      <c r="D376" t="s">
        <v>102</v>
      </c>
      <c r="E376" t="s">
        <v>103</v>
      </c>
      <c r="F376">
        <v>3</v>
      </c>
      <c r="G376" t="s">
        <v>214</v>
      </c>
      <c r="H376" s="2">
        <v>28</v>
      </c>
      <c r="I376" t="s">
        <v>27</v>
      </c>
      <c r="J376">
        <v>100</v>
      </c>
      <c r="K376" t="s">
        <v>214</v>
      </c>
      <c r="L376">
        <v>28</v>
      </c>
      <c r="M376" t="s">
        <v>28</v>
      </c>
      <c r="N376" t="s">
        <v>29</v>
      </c>
      <c r="O376" t="s">
        <v>104</v>
      </c>
      <c r="P376" t="s">
        <v>34</v>
      </c>
      <c r="Q376">
        <v>676.01</v>
      </c>
      <c r="R376">
        <v>38.26</v>
      </c>
      <c r="S376">
        <v>469.99</v>
      </c>
      <c r="T376">
        <v>12.43</v>
      </c>
      <c r="U376">
        <v>117.5</v>
      </c>
    </row>
    <row r="377" spans="1:21" x14ac:dyDescent="0.25">
      <c r="A377" t="s">
        <v>221</v>
      </c>
      <c r="B377" t="s">
        <v>100</v>
      </c>
      <c r="C377" t="s">
        <v>101</v>
      </c>
      <c r="D377" t="s">
        <v>102</v>
      </c>
      <c r="E377" t="s">
        <v>103</v>
      </c>
      <c r="F377">
        <v>4</v>
      </c>
      <c r="G377" t="s">
        <v>214</v>
      </c>
      <c r="H377" s="2">
        <v>28</v>
      </c>
      <c r="I377" t="b">
        <v>0</v>
      </c>
      <c r="J377">
        <v>100</v>
      </c>
      <c r="K377" t="s">
        <v>214</v>
      </c>
      <c r="L377">
        <v>28</v>
      </c>
      <c r="M377" t="s">
        <v>28</v>
      </c>
      <c r="N377" t="s">
        <v>29</v>
      </c>
      <c r="O377" t="s">
        <v>104</v>
      </c>
      <c r="P377" t="s">
        <v>31</v>
      </c>
      <c r="Q377">
        <v>667.17</v>
      </c>
      <c r="R377">
        <v>37.76</v>
      </c>
      <c r="S377">
        <v>463.85</v>
      </c>
      <c r="T377">
        <v>12.2</v>
      </c>
      <c r="U377">
        <v>115.96</v>
      </c>
    </row>
    <row r="378" spans="1:21" x14ac:dyDescent="0.25">
      <c r="A378" t="s">
        <v>268</v>
      </c>
      <c r="B378" t="s">
        <v>100</v>
      </c>
      <c r="C378" t="s">
        <v>101</v>
      </c>
      <c r="D378" t="s">
        <v>102</v>
      </c>
      <c r="E378" t="s">
        <v>103</v>
      </c>
      <c r="F378">
        <v>3</v>
      </c>
      <c r="G378" t="s">
        <v>230</v>
      </c>
      <c r="H378" s="2">
        <v>28</v>
      </c>
      <c r="I378" t="s">
        <v>27</v>
      </c>
      <c r="J378">
        <v>100</v>
      </c>
      <c r="K378" t="s">
        <v>230</v>
      </c>
      <c r="L378">
        <v>28</v>
      </c>
      <c r="M378" t="s">
        <v>28</v>
      </c>
      <c r="N378" t="s">
        <v>29</v>
      </c>
      <c r="O378" t="s">
        <v>104</v>
      </c>
      <c r="P378" t="s">
        <v>34</v>
      </c>
      <c r="Q378">
        <v>665.51</v>
      </c>
      <c r="R378">
        <v>37.67</v>
      </c>
      <c r="S378">
        <v>462.69</v>
      </c>
      <c r="T378">
        <v>12.22</v>
      </c>
      <c r="U378">
        <v>115.67</v>
      </c>
    </row>
    <row r="379" spans="1:21" x14ac:dyDescent="0.25">
      <c r="A379" t="s">
        <v>268</v>
      </c>
      <c r="B379" t="s">
        <v>100</v>
      </c>
      <c r="C379" t="s">
        <v>101</v>
      </c>
      <c r="D379" t="s">
        <v>102</v>
      </c>
      <c r="E379" t="s">
        <v>103</v>
      </c>
      <c r="F379">
        <v>4</v>
      </c>
      <c r="G379" t="s">
        <v>230</v>
      </c>
      <c r="H379" s="2">
        <v>28</v>
      </c>
      <c r="I379" t="s">
        <v>27</v>
      </c>
      <c r="J379">
        <v>100</v>
      </c>
      <c r="K379" t="s">
        <v>230</v>
      </c>
      <c r="L379">
        <v>28</v>
      </c>
      <c r="M379" t="s">
        <v>28</v>
      </c>
      <c r="N379" t="s">
        <v>29</v>
      </c>
      <c r="O379" t="s">
        <v>104</v>
      </c>
      <c r="P379" t="s">
        <v>43</v>
      </c>
      <c r="Q379">
        <v>649.9</v>
      </c>
      <c r="R379">
        <v>36.79</v>
      </c>
      <c r="S379">
        <v>451.84</v>
      </c>
      <c r="T379">
        <v>12.38</v>
      </c>
      <c r="U379">
        <v>112.96</v>
      </c>
    </row>
    <row r="380" spans="1:21" x14ac:dyDescent="0.25">
      <c r="A380" t="s">
        <v>269</v>
      </c>
      <c r="B380" t="s">
        <v>100</v>
      </c>
      <c r="C380" t="s">
        <v>101</v>
      </c>
      <c r="D380" t="s">
        <v>102</v>
      </c>
      <c r="E380" t="s">
        <v>103</v>
      </c>
      <c r="F380">
        <v>3</v>
      </c>
      <c r="G380" t="s">
        <v>230</v>
      </c>
      <c r="H380" s="2">
        <v>28</v>
      </c>
      <c r="I380" t="s">
        <v>27</v>
      </c>
      <c r="J380">
        <v>100</v>
      </c>
      <c r="K380" t="s">
        <v>230</v>
      </c>
      <c r="L380">
        <v>28</v>
      </c>
      <c r="M380" t="s">
        <v>28</v>
      </c>
      <c r="N380" t="s">
        <v>29</v>
      </c>
      <c r="O380" t="s">
        <v>104</v>
      </c>
      <c r="P380" t="s">
        <v>33</v>
      </c>
      <c r="Q380">
        <v>618.25</v>
      </c>
      <c r="R380">
        <v>34.99</v>
      </c>
      <c r="S380">
        <v>429.83</v>
      </c>
      <c r="T380">
        <v>12.12</v>
      </c>
      <c r="U380">
        <v>107.46</v>
      </c>
    </row>
    <row r="381" spans="1:21" x14ac:dyDescent="0.25">
      <c r="A381" t="s">
        <v>269</v>
      </c>
      <c r="B381" t="s">
        <v>100</v>
      </c>
      <c r="C381" t="s">
        <v>101</v>
      </c>
      <c r="D381" t="s">
        <v>102</v>
      </c>
      <c r="E381" t="s">
        <v>103</v>
      </c>
      <c r="F381">
        <v>4</v>
      </c>
      <c r="G381" t="s">
        <v>230</v>
      </c>
      <c r="H381" s="2">
        <v>28</v>
      </c>
      <c r="I381" t="s">
        <v>27</v>
      </c>
      <c r="J381">
        <v>100</v>
      </c>
      <c r="K381" t="s">
        <v>230</v>
      </c>
      <c r="L381">
        <v>28</v>
      </c>
      <c r="M381" t="s">
        <v>28</v>
      </c>
      <c r="N381" t="s">
        <v>29</v>
      </c>
      <c r="O381" t="s">
        <v>104</v>
      </c>
      <c r="P381" t="s">
        <v>34</v>
      </c>
      <c r="Q381">
        <v>633.79999999999995</v>
      </c>
      <c r="R381">
        <v>35.869999999999997</v>
      </c>
      <c r="S381">
        <v>440.65</v>
      </c>
      <c r="T381">
        <v>12.25</v>
      </c>
      <c r="U381">
        <v>110.16</v>
      </c>
    </row>
    <row r="382" spans="1:21" x14ac:dyDescent="0.25">
      <c r="A382" t="s">
        <v>302</v>
      </c>
      <c r="B382" t="s">
        <v>100</v>
      </c>
      <c r="C382" t="s">
        <v>101</v>
      </c>
      <c r="D382" t="s">
        <v>102</v>
      </c>
      <c r="E382" t="s">
        <v>103</v>
      </c>
      <c r="F382">
        <v>3</v>
      </c>
      <c r="G382" t="s">
        <v>292</v>
      </c>
      <c r="H382" s="2">
        <v>28</v>
      </c>
      <c r="I382" t="s">
        <v>27</v>
      </c>
      <c r="J382">
        <v>100</v>
      </c>
      <c r="K382" t="s">
        <v>292</v>
      </c>
      <c r="L382">
        <v>28</v>
      </c>
      <c r="M382" t="s">
        <v>28</v>
      </c>
      <c r="N382" t="s">
        <v>29</v>
      </c>
      <c r="O382" t="s">
        <v>104</v>
      </c>
      <c r="P382" t="s">
        <v>33</v>
      </c>
      <c r="Q382">
        <v>589.91999999999996</v>
      </c>
      <c r="R382">
        <v>33.39</v>
      </c>
      <c r="S382">
        <v>410.14</v>
      </c>
      <c r="T382">
        <v>12.45</v>
      </c>
      <c r="U382">
        <v>102.53</v>
      </c>
    </row>
    <row r="383" spans="1:21" x14ac:dyDescent="0.25">
      <c r="A383" t="s">
        <v>302</v>
      </c>
      <c r="B383" t="s">
        <v>100</v>
      </c>
      <c r="C383" t="s">
        <v>101</v>
      </c>
      <c r="D383" t="s">
        <v>102</v>
      </c>
      <c r="E383" t="s">
        <v>103</v>
      </c>
      <c r="F383">
        <v>4</v>
      </c>
      <c r="G383" t="s">
        <v>292</v>
      </c>
      <c r="H383" s="2">
        <v>28</v>
      </c>
      <c r="I383" t="s">
        <v>27</v>
      </c>
      <c r="J383">
        <v>100</v>
      </c>
      <c r="K383" t="s">
        <v>292</v>
      </c>
      <c r="L383">
        <v>28</v>
      </c>
      <c r="M383" t="s">
        <v>106</v>
      </c>
      <c r="N383" t="s">
        <v>29</v>
      </c>
      <c r="O383" t="s">
        <v>104</v>
      </c>
      <c r="P383" t="s">
        <v>31</v>
      </c>
      <c r="Q383">
        <v>560.82000000000005</v>
      </c>
      <c r="R383">
        <v>31.74</v>
      </c>
      <c r="S383">
        <v>389.91</v>
      </c>
      <c r="T383">
        <v>12.37</v>
      </c>
      <c r="U383">
        <v>97.48</v>
      </c>
    </row>
    <row r="384" spans="1:21" x14ac:dyDescent="0.25">
      <c r="A384" t="s">
        <v>303</v>
      </c>
      <c r="B384" t="s">
        <v>100</v>
      </c>
      <c r="C384" t="s">
        <v>101</v>
      </c>
      <c r="D384" t="s">
        <v>102</v>
      </c>
      <c r="E384" t="s">
        <v>103</v>
      </c>
      <c r="F384">
        <v>3</v>
      </c>
      <c r="G384" t="s">
        <v>292</v>
      </c>
      <c r="H384" s="2">
        <v>28</v>
      </c>
      <c r="I384" t="s">
        <v>27</v>
      </c>
      <c r="J384">
        <v>100</v>
      </c>
      <c r="K384" t="s">
        <v>292</v>
      </c>
      <c r="L384">
        <v>28</v>
      </c>
      <c r="M384" t="s">
        <v>28</v>
      </c>
      <c r="N384" t="s">
        <v>29</v>
      </c>
      <c r="O384" t="s">
        <v>104</v>
      </c>
      <c r="P384" t="s">
        <v>33</v>
      </c>
      <c r="Q384">
        <v>596.16</v>
      </c>
      <c r="R384">
        <v>33.74</v>
      </c>
      <c r="S384">
        <v>414.48</v>
      </c>
      <c r="T384">
        <v>12.16</v>
      </c>
      <c r="U384">
        <v>103.62</v>
      </c>
    </row>
    <row r="385" spans="1:21" x14ac:dyDescent="0.25">
      <c r="A385" t="s">
        <v>303</v>
      </c>
      <c r="B385" t="s">
        <v>100</v>
      </c>
      <c r="C385" t="s">
        <v>101</v>
      </c>
      <c r="D385" t="s">
        <v>102</v>
      </c>
      <c r="E385" t="s">
        <v>103</v>
      </c>
      <c r="F385">
        <v>4</v>
      </c>
      <c r="G385" t="s">
        <v>292</v>
      </c>
      <c r="H385" s="2">
        <v>28</v>
      </c>
      <c r="I385" t="s">
        <v>27</v>
      </c>
      <c r="J385">
        <v>100</v>
      </c>
      <c r="K385" t="s">
        <v>292</v>
      </c>
      <c r="L385">
        <v>28</v>
      </c>
      <c r="M385" t="s">
        <v>28</v>
      </c>
      <c r="N385" t="s">
        <v>29</v>
      </c>
      <c r="O385" t="s">
        <v>104</v>
      </c>
      <c r="P385" t="s">
        <v>43</v>
      </c>
      <c r="Q385">
        <v>608.35</v>
      </c>
      <c r="R385">
        <v>34.43</v>
      </c>
      <c r="S385">
        <v>422.95</v>
      </c>
      <c r="T385">
        <v>12.35</v>
      </c>
      <c r="U385">
        <v>105.74</v>
      </c>
    </row>
    <row r="386" spans="1:21" x14ac:dyDescent="0.25">
      <c r="A386" t="s">
        <v>321</v>
      </c>
      <c r="B386" t="s">
        <v>100</v>
      </c>
      <c r="C386" t="s">
        <v>101</v>
      </c>
      <c r="D386" t="s">
        <v>102</v>
      </c>
      <c r="E386" t="s">
        <v>103</v>
      </c>
      <c r="F386">
        <v>1</v>
      </c>
      <c r="G386" t="s">
        <v>257</v>
      </c>
      <c r="H386" s="2">
        <v>7</v>
      </c>
      <c r="I386" t="s">
        <v>27</v>
      </c>
      <c r="J386">
        <v>65</v>
      </c>
      <c r="K386" t="s">
        <v>257</v>
      </c>
      <c r="L386">
        <v>7</v>
      </c>
      <c r="M386" t="s">
        <v>28</v>
      </c>
      <c r="N386" t="s">
        <v>29</v>
      </c>
      <c r="O386" t="s">
        <v>104</v>
      </c>
      <c r="P386" t="s">
        <v>31</v>
      </c>
      <c r="Q386">
        <v>458.76</v>
      </c>
      <c r="R386">
        <v>25.97</v>
      </c>
      <c r="S386">
        <v>318.95</v>
      </c>
      <c r="T386">
        <v>12.19</v>
      </c>
      <c r="U386">
        <v>79.739999999999995</v>
      </c>
    </row>
    <row r="387" spans="1:21" x14ac:dyDescent="0.25">
      <c r="A387" t="s">
        <v>321</v>
      </c>
      <c r="B387" t="s">
        <v>100</v>
      </c>
      <c r="C387" t="s">
        <v>101</v>
      </c>
      <c r="D387" t="s">
        <v>102</v>
      </c>
      <c r="E387" t="s">
        <v>103</v>
      </c>
      <c r="F387">
        <v>2</v>
      </c>
      <c r="G387" t="s">
        <v>257</v>
      </c>
      <c r="H387" s="2">
        <v>7</v>
      </c>
      <c r="I387" t="s">
        <v>27</v>
      </c>
      <c r="J387">
        <v>65</v>
      </c>
      <c r="K387" t="s">
        <v>257</v>
      </c>
      <c r="L387">
        <v>7</v>
      </c>
      <c r="M387" t="s">
        <v>28</v>
      </c>
      <c r="N387" t="s">
        <v>29</v>
      </c>
      <c r="O387" t="s">
        <v>104</v>
      </c>
      <c r="P387" t="s">
        <v>33</v>
      </c>
      <c r="Q387">
        <v>411.37</v>
      </c>
      <c r="R387">
        <v>23.28</v>
      </c>
      <c r="S387">
        <v>286</v>
      </c>
      <c r="T387">
        <v>12.22</v>
      </c>
      <c r="U387">
        <v>71.5</v>
      </c>
    </row>
    <row r="388" spans="1:21" x14ac:dyDescent="0.25">
      <c r="A388" t="s">
        <v>322</v>
      </c>
      <c r="B388" t="s">
        <v>100</v>
      </c>
      <c r="C388" t="s">
        <v>101</v>
      </c>
      <c r="D388" t="s">
        <v>102</v>
      </c>
      <c r="E388" t="s">
        <v>103</v>
      </c>
      <c r="F388">
        <v>1</v>
      </c>
      <c r="G388" t="s">
        <v>279</v>
      </c>
      <c r="H388" s="2">
        <v>7</v>
      </c>
      <c r="I388" t="s">
        <v>27</v>
      </c>
      <c r="J388">
        <v>65</v>
      </c>
      <c r="K388" t="s">
        <v>279</v>
      </c>
      <c r="L388">
        <v>7</v>
      </c>
      <c r="M388" t="s">
        <v>28</v>
      </c>
      <c r="N388" t="s">
        <v>29</v>
      </c>
      <c r="O388" t="s">
        <v>104</v>
      </c>
      <c r="P388" t="s">
        <v>43</v>
      </c>
      <c r="Q388">
        <v>448.1</v>
      </c>
      <c r="R388">
        <v>25.36</v>
      </c>
      <c r="S388">
        <v>311.54000000000002</v>
      </c>
      <c r="T388">
        <v>12.2</v>
      </c>
      <c r="U388">
        <v>77.89</v>
      </c>
    </row>
    <row r="389" spans="1:21" x14ac:dyDescent="0.25">
      <c r="A389" t="s">
        <v>322</v>
      </c>
      <c r="B389" t="s">
        <v>100</v>
      </c>
      <c r="C389" t="s">
        <v>101</v>
      </c>
      <c r="D389" t="s">
        <v>102</v>
      </c>
      <c r="E389" t="s">
        <v>103</v>
      </c>
      <c r="F389">
        <v>2</v>
      </c>
      <c r="G389" t="s">
        <v>279</v>
      </c>
      <c r="H389" s="2">
        <v>7</v>
      </c>
      <c r="I389" t="s">
        <v>27</v>
      </c>
      <c r="J389">
        <v>65</v>
      </c>
      <c r="K389" t="s">
        <v>279</v>
      </c>
      <c r="L389">
        <v>7</v>
      </c>
      <c r="M389" t="s">
        <v>28</v>
      </c>
      <c r="N389" t="s">
        <v>29</v>
      </c>
      <c r="O389" t="s">
        <v>104</v>
      </c>
      <c r="P389" t="s">
        <v>31</v>
      </c>
      <c r="Q389">
        <v>458.46</v>
      </c>
      <c r="R389">
        <v>25.95</v>
      </c>
      <c r="S389">
        <v>318.74</v>
      </c>
      <c r="T389">
        <v>12.26</v>
      </c>
      <c r="U389">
        <v>79.69</v>
      </c>
    </row>
    <row r="390" spans="1:21" x14ac:dyDescent="0.25">
      <c r="A390" t="s">
        <v>323</v>
      </c>
      <c r="B390" t="s">
        <v>100</v>
      </c>
      <c r="C390" t="s">
        <v>101</v>
      </c>
      <c r="D390" t="s">
        <v>102</v>
      </c>
      <c r="E390" t="s">
        <v>103</v>
      </c>
      <c r="F390">
        <v>1</v>
      </c>
      <c r="G390" t="s">
        <v>279</v>
      </c>
      <c r="H390" s="2">
        <v>7</v>
      </c>
      <c r="I390" t="s">
        <v>27</v>
      </c>
      <c r="J390">
        <v>65</v>
      </c>
      <c r="K390" t="s">
        <v>279</v>
      </c>
      <c r="L390">
        <v>7</v>
      </c>
      <c r="M390" t="s">
        <v>28</v>
      </c>
      <c r="N390" t="s">
        <v>29</v>
      </c>
      <c r="O390" t="s">
        <v>104</v>
      </c>
      <c r="P390" t="s">
        <v>43</v>
      </c>
      <c r="Q390">
        <v>458.44</v>
      </c>
      <c r="R390">
        <v>25.95</v>
      </c>
      <c r="S390">
        <v>318.73</v>
      </c>
      <c r="T390">
        <v>12.35</v>
      </c>
      <c r="U390">
        <v>79.680000000000007</v>
      </c>
    </row>
    <row r="391" spans="1:21" x14ac:dyDescent="0.25">
      <c r="A391" t="s">
        <v>323</v>
      </c>
      <c r="B391" t="s">
        <v>100</v>
      </c>
      <c r="C391" t="s">
        <v>101</v>
      </c>
      <c r="D391" t="s">
        <v>102</v>
      </c>
      <c r="E391" t="s">
        <v>103</v>
      </c>
      <c r="F391">
        <v>2</v>
      </c>
      <c r="G391" t="s">
        <v>279</v>
      </c>
      <c r="H391" s="2">
        <v>7</v>
      </c>
      <c r="I391" t="s">
        <v>27</v>
      </c>
      <c r="J391">
        <v>65</v>
      </c>
      <c r="K391" t="s">
        <v>279</v>
      </c>
      <c r="L391">
        <v>7</v>
      </c>
      <c r="M391" t="s">
        <v>28</v>
      </c>
      <c r="N391" t="s">
        <v>29</v>
      </c>
      <c r="O391" t="s">
        <v>104</v>
      </c>
      <c r="P391" t="s">
        <v>43</v>
      </c>
      <c r="Q391">
        <v>455.59</v>
      </c>
      <c r="R391">
        <v>25.79</v>
      </c>
      <c r="S391">
        <v>316.75</v>
      </c>
      <c r="T391">
        <v>12.25</v>
      </c>
      <c r="U391">
        <v>79.19</v>
      </c>
    </row>
    <row r="392" spans="1:21" x14ac:dyDescent="0.25">
      <c r="A392" t="s">
        <v>324</v>
      </c>
      <c r="B392" t="s">
        <v>100</v>
      </c>
      <c r="C392" t="s">
        <v>101</v>
      </c>
      <c r="D392" t="s">
        <v>102</v>
      </c>
      <c r="E392" t="s">
        <v>103</v>
      </c>
      <c r="F392">
        <v>1</v>
      </c>
      <c r="G392" t="s">
        <v>292</v>
      </c>
      <c r="H392" s="2">
        <v>7</v>
      </c>
      <c r="I392" t="s">
        <v>27</v>
      </c>
      <c r="J392">
        <v>65</v>
      </c>
      <c r="K392" t="s">
        <v>292</v>
      </c>
      <c r="L392">
        <v>7</v>
      </c>
      <c r="M392" t="s">
        <v>28</v>
      </c>
      <c r="N392" t="s">
        <v>29</v>
      </c>
      <c r="O392" t="s">
        <v>104</v>
      </c>
      <c r="P392" t="s">
        <v>41</v>
      </c>
      <c r="Q392">
        <v>420.09</v>
      </c>
      <c r="R392">
        <v>23.78</v>
      </c>
      <c r="S392">
        <v>292.07</v>
      </c>
      <c r="T392">
        <v>12.14</v>
      </c>
      <c r="U392">
        <v>73.02</v>
      </c>
    </row>
    <row r="393" spans="1:21" x14ac:dyDescent="0.25">
      <c r="A393" t="s">
        <v>324</v>
      </c>
      <c r="B393" t="s">
        <v>100</v>
      </c>
      <c r="C393" t="s">
        <v>101</v>
      </c>
      <c r="D393" t="s">
        <v>102</v>
      </c>
      <c r="E393" t="s">
        <v>103</v>
      </c>
      <c r="F393">
        <v>2</v>
      </c>
      <c r="G393" t="s">
        <v>292</v>
      </c>
      <c r="H393" s="2">
        <v>7</v>
      </c>
      <c r="I393" t="s">
        <v>27</v>
      </c>
      <c r="J393">
        <v>65</v>
      </c>
      <c r="K393" t="s">
        <v>292</v>
      </c>
      <c r="L393">
        <v>7</v>
      </c>
      <c r="M393" t="s">
        <v>28</v>
      </c>
      <c r="N393" t="s">
        <v>29</v>
      </c>
      <c r="O393" t="s">
        <v>104</v>
      </c>
      <c r="P393" t="s">
        <v>43</v>
      </c>
      <c r="Q393">
        <v>433.97</v>
      </c>
      <c r="R393">
        <v>24.56</v>
      </c>
      <c r="S393">
        <v>301.72000000000003</v>
      </c>
      <c r="T393">
        <v>12.39</v>
      </c>
      <c r="U393">
        <v>75.430000000000007</v>
      </c>
    </row>
  </sheetData>
  <autoFilter ref="A1:U400" xr:uid="{00000000-0001-0000-0000-000000000000}">
    <sortState xmlns:xlrd2="http://schemas.microsoft.com/office/spreadsheetml/2017/richdata2" ref="A2:U393">
      <sortCondition ref="E1:E400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2026-04-12T07:34:32Z</dcterms:created>
  <dcterms:modified xsi:type="dcterms:W3CDTF">2026-04-12T07:38:02Z</dcterms:modified>
</cp:coreProperties>
</file>